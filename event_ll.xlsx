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palmx\Downloads\"/>
    </mc:Choice>
  </mc:AlternateContent>
  <xr:revisionPtr revIDLastSave="0" documentId="8_{0DFD677B-9465-493F-A156-32F6192215C7}" xr6:coauthVersionLast="47" xr6:coauthVersionMax="47" xr10:uidLastSave="{00000000-0000-0000-0000-000000000000}"/>
  <bookViews>
    <workbookView xWindow="-120" yWindow="-120" windowWidth="29040" windowHeight="15720" xr2:uid="{62762ACB-3543-4F78-84F7-3A3550263421}"/>
  </bookViews>
  <sheets>
    <sheet name="ร้านค้า" sheetId="1" r:id="rId1"/>
    <sheet name="ผู้ใช้" sheetId="2" r:id="rId2"/>
  </sheets>
  <externalReferences>
    <externalReference r:id="rId3"/>
  </externalReferences>
  <definedNames>
    <definedName name="_xlnm._FilterDatabase" localSheetId="1" hidden="1">ผู้ใช้!$A$3:$AG$70</definedName>
    <definedName name="_xlnm._FilterDatabase" localSheetId="0" hidden="1">ร้านค้า!$A$2:$AD$2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8" i="1"/>
  <c r="P31" i="1"/>
  <c r="E111" i="2"/>
  <c r="F111" i="2" s="1"/>
  <c r="E110" i="2"/>
  <c r="E109" i="2"/>
  <c r="F109" i="2" s="1"/>
  <c r="E108" i="2"/>
  <c r="E107" i="2"/>
  <c r="F107" i="2" s="1"/>
  <c r="E106" i="2"/>
  <c r="F49" i="1"/>
  <c r="Y69" i="2"/>
  <c r="S69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4" i="2"/>
  <c r="E103" i="2"/>
  <c r="E100" i="2"/>
  <c r="M69" i="2"/>
  <c r="N69" i="2"/>
  <c r="T69" i="2"/>
  <c r="U69" i="2"/>
  <c r="V69" i="2"/>
  <c r="W69" i="2"/>
  <c r="X69" i="2"/>
  <c r="E102" i="2"/>
  <c r="Z69" i="2"/>
  <c r="AA69" i="2"/>
  <c r="AB69" i="2"/>
  <c r="AC69" i="2"/>
  <c r="AD69" i="2"/>
  <c r="AE69" i="2"/>
  <c r="AF69" i="2"/>
  <c r="AG69" i="2"/>
  <c r="L69" i="2"/>
  <c r="F69" i="2"/>
  <c r="E101" i="2" s="1"/>
  <c r="G69" i="2"/>
  <c r="H69" i="2"/>
  <c r="I69" i="2"/>
  <c r="J69" i="2"/>
  <c r="K69" i="2"/>
  <c r="E40" i="1"/>
  <c r="V31" i="1"/>
  <c r="E42" i="1" s="1"/>
  <c r="F42" i="1" l="1"/>
  <c r="E44" i="1"/>
  <c r="F44" i="1" s="1"/>
  <c r="E104" i="2"/>
  <c r="F104" i="2" s="1"/>
  <c r="R69" i="2"/>
  <c r="E105" i="2"/>
  <c r="F102" i="2"/>
  <c r="AD5" i="1" l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4" i="1"/>
  <c r="M31" i="1"/>
  <c r="W31" i="1"/>
  <c r="E43" i="1" s="1"/>
  <c r="F43" i="1" s="1"/>
  <c r="AC31" i="1"/>
  <c r="AB31" i="1"/>
  <c r="AA31" i="1"/>
  <c r="Z31" i="1"/>
  <c r="Y31" i="1"/>
  <c r="X31" i="1"/>
  <c r="AD31" i="1" s="1"/>
  <c r="E47" i="1" s="1"/>
  <c r="N31" i="1"/>
  <c r="H31" i="1"/>
  <c r="I31" i="1"/>
  <c r="J31" i="1"/>
  <c r="K31" i="1"/>
  <c r="L31" i="1"/>
  <c r="Q31" i="1"/>
  <c r="R31" i="1"/>
  <c r="S31" i="1"/>
  <c r="T31" i="1"/>
  <c r="U31" i="1"/>
  <c r="G31" i="1"/>
  <c r="E41" i="1" s="1"/>
  <c r="K91" i="2"/>
  <c r="J91" i="2"/>
  <c r="I91" i="2"/>
  <c r="H91" i="2"/>
  <c r="G91" i="2"/>
  <c r="L74" i="2"/>
  <c r="K74" i="2"/>
  <c r="J74" i="2"/>
  <c r="I74" i="2"/>
  <c r="H74" i="2"/>
  <c r="G74" i="2"/>
  <c r="I92" i="2"/>
  <c r="I93" i="2" s="1"/>
  <c r="I94" i="2" s="1"/>
  <c r="O39" i="2"/>
  <c r="N35" i="1"/>
  <c r="M35" i="1"/>
  <c r="L35" i="1"/>
  <c r="K35" i="1"/>
  <c r="J35" i="1"/>
  <c r="I35" i="1"/>
  <c r="E45" i="1" l="1"/>
  <c r="F45" i="1" s="1"/>
  <c r="P39" i="2"/>
  <c r="O69" i="2"/>
  <c r="F105" i="2"/>
  <c r="F103" i="2"/>
  <c r="G75" i="2"/>
  <c r="G83" i="2" s="1"/>
  <c r="O31" i="1"/>
  <c r="E46" i="1" s="1"/>
  <c r="F47" i="1" s="1"/>
  <c r="I36" i="1"/>
  <c r="H92" i="2"/>
  <c r="H93" i="2" s="1"/>
  <c r="H94" i="2" s="1"/>
  <c r="G92" i="2"/>
  <c r="L91" i="2"/>
  <c r="Q39" i="2" l="1"/>
  <c r="Q69" i="2" s="1"/>
  <c r="P69" i="2"/>
  <c r="J92" i="2"/>
  <c r="J93" i="2" s="1"/>
  <c r="J94" i="2" s="1"/>
  <c r="H83" i="2"/>
  <c r="G86" i="2"/>
  <c r="G87" i="2" s="1"/>
  <c r="K92" i="2"/>
  <c r="K93" i="2" s="1"/>
  <c r="K94" i="2" s="1"/>
  <c r="G93" i="2"/>
  <c r="G94" i="2" s="1"/>
  <c r="L92" i="2" l="1"/>
  <c r="L93" i="2" l="1"/>
  <c r="L94" i="2" s="1"/>
</calcChain>
</file>

<file path=xl/sharedStrings.xml><?xml version="1.0" encoding="utf-8"?>
<sst xmlns="http://schemas.openxmlformats.org/spreadsheetml/2006/main" count="316" uniqueCount="160">
  <si>
    <t>ร้านค้า</t>
  </si>
  <si>
    <t>เซลส์</t>
  </si>
  <si>
    <t>ลำดับ</t>
  </si>
  <si>
    <t>จำนวนรวม</t>
  </si>
  <si>
    <t>รายชื่อ</t>
  </si>
  <si>
    <t>จังหวัด</t>
  </si>
  <si>
    <t>หมายเหตุ</t>
  </si>
  <si>
    <t>จำนวนคน ร่วมงาน</t>
  </si>
  <si>
    <t>ใช้ห้องพัก</t>
  </si>
  <si>
    <t>จำนวน จองยาง (แพค)</t>
  </si>
  <si>
    <t>นิว</t>
  </si>
  <si>
    <t>ร้านยางกิจถาวร</t>
  </si>
  <si>
    <t>สมุทรปราการ</t>
  </si>
  <si>
    <t>ร้านตั้งกิจเจริญ</t>
  </si>
  <si>
    <t xml:space="preserve"> </t>
  </si>
  <si>
    <t>บริษัท รุ่งเรืองยางยนต์ จำกัด</t>
  </si>
  <si>
    <t>สำรองห้อง</t>
  </si>
  <si>
    <t>เจริญรวมยาง</t>
  </si>
  <si>
    <t>เยาวลักษณ์การยาง</t>
  </si>
  <si>
    <t>รวม</t>
  </si>
  <si>
    <t>อาร์ต</t>
  </si>
  <si>
    <t>บจ.แกรนด์ไทร์</t>
  </si>
  <si>
    <t>กทม.</t>
  </si>
  <si>
    <t>บจ.ธนายางพาณิชย์</t>
  </si>
  <si>
    <t>บจ.ไจแอ้นทไทร์ สุวรรณภูมิ</t>
  </si>
  <si>
    <t>ออม</t>
  </si>
  <si>
    <t>ร้าน ส . วิมลสิน (ร้านยาง)</t>
  </si>
  <si>
    <t>ปทุมธานี</t>
  </si>
  <si>
    <t>ร้านนพรัตน์การยาง (ร้านยาง)</t>
  </si>
  <si>
    <t xml:space="preserve">ก.เจริญการยาง </t>
  </si>
  <si>
    <t>ร้านสุพจการยาง</t>
  </si>
  <si>
    <t xml:space="preserve">เม </t>
  </si>
  <si>
    <t>บริษัท หลักเมืองถาวร 2004 จำกัด</t>
  </si>
  <si>
    <t>สุพรรณ</t>
  </si>
  <si>
    <t>อาจเป็น 600</t>
  </si>
  <si>
    <t>บริษัท วาณิชไทร์ แอนด์ เซอร์วิส จำกัด</t>
  </si>
  <si>
    <t>บริษัท คีน แอนด์ แฟลร์ จำกัด</t>
  </si>
  <si>
    <t>นครปฐม</t>
  </si>
  <si>
    <t>บริษัท  สายห้ากิจการยาง  จำกัด</t>
  </si>
  <si>
    <t>บัณฑิตยางยนต์ (นายบัณฑิต  จันทะเสน)</t>
  </si>
  <si>
    <t>บริษัท สมาร์ท ไพรด์ ลูบริแคนท์ส จำกัด</t>
  </si>
  <si>
    <t>บริษัท ที ไทร์ ออโต้พาร์ท จำกัด</t>
  </si>
  <si>
    <t>เอกชัยศูนย์ล้อ (สำรอง)</t>
  </si>
  <si>
    <t>สมุทรสาคร</t>
  </si>
  <si>
    <t>อิ่มพันธ์ (สำรอง)</t>
  </si>
  <si>
    <t>กาญจนบุรี</t>
  </si>
  <si>
    <t>หวาน</t>
  </si>
  <si>
    <t>พ.พชรทรัพย์</t>
  </si>
  <si>
    <t>สระบุรี</t>
  </si>
  <si>
    <t>สระบุรีทรัค</t>
  </si>
  <si>
    <t>(2 แพค)</t>
  </si>
  <si>
    <t>ณัฐพงษ์การยาง</t>
  </si>
  <si>
    <t>อ๊อดการยาง</t>
  </si>
  <si>
    <t>อยุธยา</t>
  </si>
  <si>
    <t>สมชาย</t>
  </si>
  <si>
    <t>มาลัยการยาง</t>
  </si>
  <si>
    <t>เจริญผล</t>
  </si>
  <si>
    <t>เกียรติการยาง</t>
  </si>
  <si>
    <t>บิ้วตี้การยาง</t>
  </si>
  <si>
    <t>แพค</t>
  </si>
  <si>
    <t>จำนวนจอง/แพค</t>
  </si>
  <si>
    <t>จำนวนเส้น</t>
  </si>
  <si>
    <t>จำนวนเส้น รวม</t>
  </si>
  <si>
    <t>ผู้ใช้</t>
  </si>
  <si>
    <t>จำนวนแต่ละเขต</t>
  </si>
  <si>
    <t>คนร่วมงาน</t>
  </si>
  <si>
    <t>บริษัท แอลเอช ทรานสปอร์ต จำกัด</t>
  </si>
  <si>
    <t>บริษัท อาร์เจ โลจีสติกส์ จำกัด+เอ็นพี24</t>
  </si>
  <si>
    <t>บริษัท ฟาอีฟ โลจีสติกส์ จำกัด</t>
  </si>
  <si>
    <t>บริษัท เมืองน่าอยู่ จำกัด</t>
  </si>
  <si>
    <t>บริษัท ว.ลาภส่งผล โลจีสติกส์ จำกัด</t>
  </si>
  <si>
    <t>บริษัท เอเบิลทรานสปอร์ต</t>
  </si>
  <si>
    <t>บริษัท สปีดดี ทรานส์เซอร์วิส จำกัด</t>
  </si>
  <si>
    <t>บริษัท ส.รัตนเทพขนส่ง จำกัด</t>
  </si>
  <si>
    <t>บริษัท ไฮปั๊ม จำกัด</t>
  </si>
  <si>
    <t>บริษัท วีเชน จำกัด แฟลช</t>
  </si>
  <si>
    <t>บริษัท เอสวีสหัสวรรษแอนด์ เซอร์วิส</t>
  </si>
  <si>
    <t>หจก. จิรวัฒน์ขนส่ง</t>
  </si>
  <si>
    <t>อาท</t>
  </si>
  <si>
    <t>บริษัท พีเอสเค 02 ทรานสปอร์ต จำกัด</t>
  </si>
  <si>
    <t>บริษัท พัชรสินี 42 จำกัด</t>
  </si>
  <si>
    <t>บริษัท เคเอ็นเอ็น ไดนามิคทรานสปอร์ต จำกัด</t>
  </si>
  <si>
    <t>บจก.เมอร์เล็กซ์ทรานสปร์อต</t>
  </si>
  <si>
    <t>กทม</t>
  </si>
  <si>
    <t>อาจขอแพค 200</t>
  </si>
  <si>
    <t>บจก.โซนิคออโตโลจิส</t>
  </si>
  <si>
    <t>บจก.บางพลีใหญ่ขนส่ง</t>
  </si>
  <si>
    <t>บริษัท พาราสัมพันธ์ จำกัด</t>
  </si>
  <si>
    <t>ช.ทวีก่อสร้าง, ดอนเมือง</t>
  </si>
  <si>
    <t>หจก.พรแม่สาห์ จำกัด</t>
  </si>
  <si>
    <t>หจก.ส.ภัสรชัย จำกัด</t>
  </si>
  <si>
    <t>หจก. ช เทียนเจริญ</t>
  </si>
  <si>
    <t>หจก.บางไทร เคหะภัณฑ์</t>
  </si>
  <si>
    <t>บจก. เอส ที ดี ทรานสปอร์ต</t>
  </si>
  <si>
    <t>บริษัท สุภาณิฏฐ์ อินเตอร์ กรุ๊ป จำกัด</t>
  </si>
  <si>
    <t>นนทบุรี</t>
  </si>
  <si>
    <t>บริษัท พ.สิทธโชค จำกัด</t>
  </si>
  <si>
    <t>บริษัท อินทร์จำนงค์ จำกัด</t>
  </si>
  <si>
    <t>บริษัท เฟื่องฟ้าชฎาวรรณ ขนส่ง จำกัด</t>
  </si>
  <si>
    <t>บริษัท ภูเก็ตศรีสุชาติขนส่ง จำกัด</t>
  </si>
  <si>
    <t>หจก.รักสุจริต</t>
  </si>
  <si>
    <t>บริษัท ธันย์แอนด์ธี ทรานสปอร์ต</t>
  </si>
  <si>
    <t>บริษัท ลูกอัดไทย  ลูกค้าใหม่</t>
  </si>
  <si>
    <t>บจก. สหศักดิ์  ลูกค้าใหม่</t>
  </si>
  <si>
    <t>บจก.ประยูรวิศ ลูกค้าใหม่</t>
  </si>
  <si>
    <t>บจก.เอ็กซ์เซอร์เร้น</t>
  </si>
  <si>
    <t xml:space="preserve">บริษัท เฉลิมภัทร ทรานสปอร์ต </t>
  </si>
  <si>
    <t>เม ผู้ใช้</t>
  </si>
  <si>
    <t>บริษัท แสงสหทรัพย์ จำกัด</t>
  </si>
  <si>
    <t>ห้างหุ้นส่วนจำกัด เจตนาเจริญขนส่ง</t>
  </si>
  <si>
    <t>บริษัท ฉันทวิลาศ (2002) จำกัด</t>
  </si>
  <si>
    <t>ห้างหุ้นส่วนจำกัด ศรีพรกิจ ทรานสปอร์ต</t>
  </si>
  <si>
    <t>บริษัท เชียงใหม่ริมดอย จำกัด (มหาชน)</t>
  </si>
  <si>
    <t>บริษัท ไทยรุ่งพัฒนาขนส่ง จำกัด</t>
  </si>
  <si>
    <r>
      <t xml:space="preserve">ห้างหุ้นส่วนจำกัด กรเอก ทรานสปอร์ต </t>
    </r>
    <r>
      <rPr>
        <sz val="14"/>
        <color rgb="FF00B0F0"/>
        <rFont val="Tahoma"/>
        <family val="2"/>
        <scheme val="minor"/>
      </rPr>
      <t>(สำรอง)</t>
    </r>
  </si>
  <si>
    <r>
      <t xml:space="preserve">บริษัท เหรียญเฮง จำกัด  </t>
    </r>
    <r>
      <rPr>
        <sz val="14"/>
        <color rgb="FF00B0F0"/>
        <rFont val="Tahoma"/>
        <family val="2"/>
        <scheme val="minor"/>
      </rPr>
      <t>(สำรอง)</t>
    </r>
  </si>
  <si>
    <r>
      <t xml:space="preserve">บริษัท  แสงชัยโชค  จำกัด </t>
    </r>
    <r>
      <rPr>
        <sz val="14"/>
        <color rgb="FF00B0F0"/>
        <rFont val="Tahoma"/>
        <family val="2"/>
        <scheme val="minor"/>
      </rPr>
      <t xml:space="preserve"> (สำรอง)</t>
    </r>
  </si>
  <si>
    <r>
      <t>บริษัท  อุดมพัฒนา</t>
    </r>
    <r>
      <rPr>
        <sz val="14"/>
        <color rgb="FF00B0F0"/>
        <rFont val="Tahoma"/>
        <family val="2"/>
        <scheme val="minor"/>
      </rPr>
      <t xml:space="preserve"> (สำรอง)</t>
    </r>
  </si>
  <si>
    <r>
      <t xml:space="preserve">บริษัท  หงส์ดำ </t>
    </r>
    <r>
      <rPr>
        <sz val="14"/>
        <color rgb="FF00B0F0"/>
        <rFont val="Tahoma"/>
        <family val="2"/>
        <scheme val="minor"/>
      </rPr>
      <t>(สำรอง)</t>
    </r>
  </si>
  <si>
    <t>หจก.ก้าวสุวรรณ</t>
  </si>
  <si>
    <t>หจก.วสุโลจิสติกส์</t>
  </si>
  <si>
    <t>หจก.วีระวิภา ทรานสปอร์ต</t>
  </si>
  <si>
    <t>หจก.นารถรวี ขนส่ง</t>
  </si>
  <si>
    <t>บจก.ภาคภูมิโลจิสติกส์</t>
  </si>
  <si>
    <t>บจก.ยุทธนาทรานสปอร์ต</t>
  </si>
  <si>
    <t>หจก.ภูพลบุตรทรานสปอร์ต</t>
  </si>
  <si>
    <t>หจก.ชมแขขนส่ง</t>
  </si>
  <si>
    <t>บจก.วินทีม</t>
  </si>
  <si>
    <t>บจก.ตวงพรขนส่ง</t>
  </si>
  <si>
    <t>บจก.สมยศ</t>
  </si>
  <si>
    <t>บจก.นิติยาขนส่ง</t>
  </si>
  <si>
    <t>บจก.ทีเอ็มทีสตีล(ลค.ใหม่)</t>
  </si>
  <si>
    <t>บจก.ธีรภัค ทรานสปอร์ต(ลค.ใหม่)</t>
  </si>
  <si>
    <t>หจก.ทองทรานทรานสปอร์ต</t>
  </si>
  <si>
    <t>บจก.ทรงยศท่องเที่ยว</t>
  </si>
  <si>
    <t>หจก.นพมงคลเซอร์วิส</t>
  </si>
  <si>
    <t>ประมาณการ ยอดจอง และ งบที่ใช้</t>
  </si>
  <si>
    <t>ประเภท</t>
  </si>
  <si>
    <t>เม</t>
  </si>
  <si>
    <t>เฉลี่ย/เดือน</t>
  </si>
  <si>
    <t>ผลรวมทั้งหมด</t>
  </si>
  <si>
    <t>จำนวน/คน ร่วมงาน จริง</t>
  </si>
  <si>
    <t>ผลรวมจองทั้งหมด</t>
  </si>
  <si>
    <t>ผลรวมจองยางทั้งหมดจริง</t>
  </si>
  <si>
    <t>เพิ่มช่องให้คีย์สรุปลงทะเบียน    (ใส่ตัวอย่างมาให้ดู)</t>
  </si>
  <si>
    <t>สรุปรายละเอียด ร้านค้าที่มาร่วมงาน</t>
  </si>
  <si>
    <t>ร้านค้าที่ลงทะเบียนมา</t>
  </si>
  <si>
    <t>จำนวนคนที่ลงทะเบียนมาร่วมงาน</t>
  </si>
  <si>
    <t>ร้านค้าที่ลงทะเบียนมาจริง</t>
  </si>
  <si>
    <t>จำนวนคนที่ลงทะเบียนมาร่วมงานจริง</t>
  </si>
  <si>
    <t>ร้านค้าที่ลงทะเบียนไม่มา</t>
  </si>
  <si>
    <t>จำนวนคนที่ลงทะเบียนไม่มาร่วมงาน</t>
  </si>
  <si>
    <t>จำนวนร้านค้าที่มางาน</t>
  </si>
  <si>
    <t>ทำสรุปรายข้อมูลผู้มาร่วมงาน</t>
  </si>
  <si>
    <t>จำนวนยางที่จองจริง</t>
  </si>
  <si>
    <t>จำนวนยางที่จองก่อนมาร่วมงาน</t>
  </si>
  <si>
    <t>ร้านค้าที่จองยาง</t>
  </si>
  <si>
    <t>ร้านค้าที่จองยางแล้วไม่ร่วมงาน</t>
  </si>
  <si>
    <t>ร้านค้าที่จองยางแล้วมาร่วมงาน</t>
  </si>
  <si>
    <t>ร้านค้าที่ไม่จองยางแล้วมาร่วมงาน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</si>
</sst>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sz val="14"/>
      <color rgb="FFFF0000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4"/>
      <name val="Tahoma"/>
      <family val="2"/>
      <scheme val="minor"/>
    </font>
    <font>
      <sz val="14"/>
      <color rgb="FF000000"/>
      <name val="Tahoma"/>
      <family val="2"/>
      <scheme val="minor"/>
    </font>
    <font>
      <sz val="14"/>
      <color rgb="FF00B0F0"/>
      <name val="Tahoma"/>
      <family val="2"/>
      <scheme val="minor"/>
    </font>
    <font>
      <b/>
      <sz val="16"/>
      <color rgb="FFFF0000"/>
      <name val="Tahoma"/>
      <family val="2"/>
      <scheme val="minor"/>
    </font>
    <font>
      <b/>
      <sz val="26"/>
      <color rgb="FFFF0000"/>
      <name val="Tahoma"/>
      <family val="2"/>
      <scheme val="minor"/>
    </font>
    <font>
      <b/>
      <sz val="28"/>
      <color rgb="FFFF0000"/>
      <name val="Tahoma"/>
      <family val="2"/>
      <scheme val="minor"/>
    </font>
    <font>
      <b/>
      <sz val="22"/>
      <color theme="1"/>
      <name val="Tahoma"/>
      <family val="2"/>
      <scheme val="minor"/>
    </font>
    <font>
      <b/>
      <sz val="24"/>
      <color theme="1"/>
      <name val="Tahoma"/>
      <family val="2"/>
      <scheme val="minor"/>
    </font>
    <font>
      <sz val="22"/>
      <color theme="1"/>
      <name val="Tahoma"/>
      <family val="2"/>
      <scheme val="minor"/>
    </font>
    <font>
      <sz val="24"/>
      <color theme="1"/>
      <name val="Tahoma"/>
      <family val="2"/>
      <scheme val="minor"/>
    </font>
    <font>
      <sz val="26"/>
      <color theme="1"/>
      <name val="Tahoma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/>
    </xf>
    <xf numFmtId="0" fontId="3" fillId="0" borderId="1" xfId="2" applyFont="1" applyBorder="1"/>
    <xf numFmtId="0" fontId="3" fillId="6" borderId="1" xfId="0" applyFont="1" applyFill="1" applyBorder="1" applyAlignment="1">
      <alignment horizontal="center"/>
    </xf>
    <xf numFmtId="0" fontId="3" fillId="2" borderId="1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3" fillId="6" borderId="1" xfId="2" applyFont="1" applyFill="1" applyBorder="1" applyAlignment="1">
      <alignment horizontal="center"/>
    </xf>
    <xf numFmtId="0" fontId="3" fillId="0" borderId="1" xfId="2" applyFont="1" applyBorder="1" applyAlignment="1">
      <alignment horizontal="left"/>
    </xf>
    <xf numFmtId="0" fontId="3" fillId="2" borderId="1" xfId="2" applyFont="1" applyFill="1" applyBorder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7" fillId="0" borderId="0" xfId="0" applyFont="1"/>
    <xf numFmtId="0" fontId="7" fillId="0" borderId="0" xfId="0" applyFont="1" applyAlignment="1">
      <alignment horizontal="center"/>
    </xf>
    <xf numFmtId="187" fontId="7" fillId="0" borderId="0" xfId="1" applyNumberFormat="1" applyFont="1"/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/>
    <xf numFmtId="0" fontId="7" fillId="0" borderId="1" xfId="2" applyFont="1" applyBorder="1" applyAlignment="1">
      <alignment horizontal="center" vertical="center"/>
    </xf>
    <xf numFmtId="0" fontId="7" fillId="2" borderId="1" xfId="2" applyFont="1" applyFill="1" applyBorder="1"/>
    <xf numFmtId="0" fontId="7" fillId="2" borderId="1" xfId="2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/>
    </xf>
    <xf numFmtId="0" fontId="7" fillId="6" borderId="1" xfId="2" applyFont="1" applyFill="1" applyBorder="1" applyAlignment="1">
      <alignment horizontal="center"/>
    </xf>
    <xf numFmtId="0" fontId="7" fillId="0" borderId="1" xfId="2" applyFont="1" applyBorder="1" applyAlignment="1">
      <alignment horizontal="left"/>
    </xf>
    <xf numFmtId="0" fontId="7" fillId="4" borderId="1" xfId="2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43" fontId="7" fillId="0" borderId="0" xfId="1" applyFont="1" applyAlignment="1">
      <alignment horizontal="center"/>
    </xf>
    <xf numFmtId="43" fontId="7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87" fontId="7" fillId="3" borderId="1" xfId="1" applyNumberFormat="1" applyFont="1" applyFill="1" applyBorder="1" applyAlignment="1">
      <alignment horizontal="center"/>
    </xf>
    <xf numFmtId="10" fontId="7" fillId="3" borderId="1" xfId="0" applyNumberFormat="1" applyFont="1" applyFill="1" applyBorder="1" applyAlignment="1">
      <alignment horizontal="center"/>
    </xf>
    <xf numFmtId="187" fontId="7" fillId="0" borderId="1" xfId="1" applyNumberFormat="1" applyFont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87" fontId="7" fillId="13" borderId="1" xfId="1" applyNumberFormat="1" applyFont="1" applyFill="1" applyBorder="1" applyAlignment="1">
      <alignment horizontal="center"/>
    </xf>
    <xf numFmtId="187" fontId="7" fillId="13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187" fontId="7" fillId="14" borderId="1" xfId="1" applyNumberFormat="1" applyFont="1" applyFill="1" applyBorder="1" applyAlignment="1">
      <alignment horizontal="center"/>
    </xf>
    <xf numFmtId="187" fontId="7" fillId="14" borderId="1" xfId="1" applyNumberFormat="1" applyFont="1" applyFill="1" applyBorder="1"/>
    <xf numFmtId="43" fontId="17" fillId="5" borderId="1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/>
    <xf numFmtId="43" fontId="17" fillId="5" borderId="2" xfId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 applyAlignment="1">
      <alignment horizontal="center"/>
    </xf>
    <xf numFmtId="0" fontId="5" fillId="1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/>
    </xf>
    <xf numFmtId="187" fontId="17" fillId="15" borderId="1" xfId="1" applyNumberFormat="1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 vertical="center"/>
    </xf>
    <xf numFmtId="0" fontId="3" fillId="2" borderId="7" xfId="0" applyFont="1" applyFill="1" applyBorder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3" fontId="17" fillId="5" borderId="4" xfId="1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5" fillId="12" borderId="12" xfId="0" applyFont="1" applyFill="1" applyBorder="1" applyAlignment="1">
      <alignment vertical="center"/>
    </xf>
    <xf numFmtId="0" fontId="5" fillId="12" borderId="17" xfId="0" applyFont="1" applyFill="1" applyBorder="1" applyAlignment="1">
      <alignment vertical="center"/>
    </xf>
    <xf numFmtId="0" fontId="5" fillId="12" borderId="18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18" borderId="6" xfId="0" applyFont="1" applyFill="1" applyBorder="1" applyAlignment="1">
      <alignment horizontal="center" vertical="center" wrapText="1"/>
    </xf>
    <xf numFmtId="9" fontId="16" fillId="18" borderId="6" xfId="0" applyNumberFormat="1" applyFont="1" applyFill="1" applyBorder="1" applyAlignment="1">
      <alignment horizontal="center" vertical="center" wrapText="1"/>
    </xf>
    <xf numFmtId="9" fontId="16" fillId="18" borderId="9" xfId="0" applyNumberFormat="1" applyFont="1" applyFill="1" applyBorder="1" applyAlignment="1">
      <alignment horizontal="center" vertical="center" wrapText="1"/>
    </xf>
    <xf numFmtId="187" fontId="16" fillId="18" borderId="6" xfId="0" applyNumberFormat="1" applyFont="1" applyFill="1" applyBorder="1" applyAlignment="1">
      <alignment horizontal="center" vertical="center" wrapText="1"/>
    </xf>
    <xf numFmtId="187" fontId="16" fillId="18" borderId="9" xfId="0" applyNumberFormat="1" applyFont="1" applyFill="1" applyBorder="1" applyAlignment="1">
      <alignment horizontal="center" vertical="center" wrapText="1"/>
    </xf>
    <xf numFmtId="187" fontId="16" fillId="19" borderId="6" xfId="0" applyNumberFormat="1" applyFont="1" applyFill="1" applyBorder="1" applyAlignment="1">
      <alignment horizontal="center" vertical="center" wrapText="1"/>
    </xf>
    <xf numFmtId="187" fontId="16" fillId="19" borderId="9" xfId="0" applyNumberFormat="1" applyFont="1" applyFill="1" applyBorder="1" applyAlignment="1">
      <alignment horizontal="center" vertical="center" wrapText="1"/>
    </xf>
    <xf numFmtId="187" fontId="16" fillId="2" borderId="10" xfId="0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 wrapText="1"/>
    </xf>
    <xf numFmtId="0" fontId="5" fillId="18" borderId="9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0" fillId="20" borderId="0" xfId="0" applyFont="1" applyFill="1" applyAlignment="1">
      <alignment horizontal="center"/>
    </xf>
    <xf numFmtId="9" fontId="14" fillId="19" borderId="6" xfId="3" applyFont="1" applyFill="1" applyBorder="1" applyAlignment="1">
      <alignment horizontal="center" vertical="center" wrapText="1"/>
    </xf>
    <xf numFmtId="9" fontId="14" fillId="19" borderId="9" xfId="3" applyFont="1" applyFill="1" applyBorder="1" applyAlignment="1">
      <alignment horizontal="center" vertical="center" wrapText="1"/>
    </xf>
    <xf numFmtId="9" fontId="14" fillId="2" borderId="10" xfId="3" applyFont="1" applyFill="1" applyBorder="1" applyAlignment="1">
      <alignment horizontal="center" vertical="center" wrapText="1"/>
    </xf>
    <xf numFmtId="9" fontId="14" fillId="2" borderId="9" xfId="3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12" borderId="6" xfId="0" applyFont="1" applyFill="1" applyBorder="1" applyAlignment="1">
      <alignment vertical="center"/>
    </xf>
    <xf numFmtId="0" fontId="7" fillId="0" borderId="7" xfId="0" applyFont="1" applyBorder="1"/>
    <xf numFmtId="0" fontId="7" fillId="0" borderId="10" xfId="0" applyFont="1" applyBorder="1"/>
    <xf numFmtId="0" fontId="5" fillId="0" borderId="9" xfId="0" applyFont="1" applyBorder="1"/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9" fillId="20" borderId="0" xfId="0" applyFont="1" applyFill="1" applyAlignment="1">
      <alignment horizontal="center" vertical="center"/>
    </xf>
    <xf numFmtId="187" fontId="5" fillId="5" borderId="1" xfId="1" applyNumberFormat="1" applyFont="1" applyFill="1" applyBorder="1" applyAlignment="1">
      <alignment horizontal="center" vertical="center"/>
    </xf>
    <xf numFmtId="187" fontId="16" fillId="12" borderId="6" xfId="0" applyNumberFormat="1" applyFont="1" applyFill="1" applyBorder="1" applyAlignment="1">
      <alignment horizontal="center" vertical="center" wrapText="1"/>
    </xf>
    <xf numFmtId="9" fontId="14" fillId="12" borderId="6" xfId="3" applyFont="1" applyFill="1" applyBorder="1" applyAlignment="1">
      <alignment horizontal="center" vertical="center" wrapText="1"/>
    </xf>
    <xf numFmtId="187" fontId="16" fillId="12" borderId="9" xfId="0" applyNumberFormat="1" applyFont="1" applyFill="1" applyBorder="1" applyAlignment="1">
      <alignment horizontal="center" vertical="center" wrapText="1"/>
    </xf>
    <xf numFmtId="9" fontId="14" fillId="12" borderId="9" xfId="3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87" fontId="16" fillId="2" borderId="8" xfId="0" applyNumberFormat="1" applyFont="1" applyFill="1" applyBorder="1" applyAlignment="1">
      <alignment horizontal="center" vertical="center" wrapText="1"/>
    </xf>
    <xf numFmtId="9" fontId="14" fillId="2" borderId="8" xfId="3" applyFont="1" applyFill="1" applyBorder="1" applyAlignment="1">
      <alignment horizontal="center" vertical="center" wrapText="1"/>
    </xf>
    <xf numFmtId="187" fontId="17" fillId="5" borderId="21" xfId="1" applyNumberFormat="1" applyFont="1" applyFill="1" applyBorder="1" applyAlignment="1">
      <alignment horizontal="center"/>
    </xf>
    <xf numFmtId="187" fontId="17" fillId="5" borderId="20" xfId="1" applyNumberFormat="1" applyFont="1" applyFill="1" applyBorder="1" applyAlignment="1">
      <alignment horizontal="center"/>
    </xf>
    <xf numFmtId="187" fontId="17" fillId="5" borderId="22" xfId="1" applyNumberFormat="1" applyFont="1" applyFill="1" applyBorder="1" applyAlignment="1">
      <alignment horizontal="center"/>
    </xf>
    <xf numFmtId="187" fontId="17" fillId="16" borderId="5" xfId="0" applyNumberFormat="1" applyFont="1" applyFill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43" fontId="7" fillId="0" borderId="1" xfId="0" applyNumberFormat="1" applyFont="1" applyBorder="1"/>
    <xf numFmtId="0" fontId="5" fillId="14" borderId="6" xfId="0" applyFont="1" applyFill="1" applyBorder="1" applyAlignment="1">
      <alignment horizontal="center" vertical="center" wrapText="1"/>
    </xf>
    <xf numFmtId="187" fontId="16" fillId="14" borderId="6" xfId="0" applyNumberFormat="1" applyFont="1" applyFill="1" applyBorder="1" applyAlignment="1">
      <alignment horizontal="center" vertical="center" wrapText="1"/>
    </xf>
    <xf numFmtId="9" fontId="14" fillId="14" borderId="6" xfId="3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187" fontId="16" fillId="14" borderId="9" xfId="0" applyNumberFormat="1" applyFont="1" applyFill="1" applyBorder="1" applyAlignment="1">
      <alignment horizontal="center" vertical="center" wrapText="1"/>
    </xf>
    <xf numFmtId="9" fontId="14" fillId="14" borderId="9" xfId="3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center" vertical="center" wrapText="1"/>
    </xf>
    <xf numFmtId="187" fontId="16" fillId="21" borderId="6" xfId="0" applyNumberFormat="1" applyFont="1" applyFill="1" applyBorder="1" applyAlignment="1">
      <alignment horizontal="center" vertical="center" wrapText="1"/>
    </xf>
    <xf numFmtId="9" fontId="14" fillId="21" borderId="6" xfId="3" applyFont="1" applyFill="1" applyBorder="1" applyAlignment="1">
      <alignment horizontal="center" vertical="center" wrapText="1"/>
    </xf>
    <xf numFmtId="0" fontId="5" fillId="21" borderId="9" xfId="0" applyFont="1" applyFill="1" applyBorder="1" applyAlignment="1">
      <alignment horizontal="center" vertical="center" wrapText="1"/>
    </xf>
    <xf numFmtId="187" fontId="16" fillId="21" borderId="9" xfId="0" applyNumberFormat="1" applyFont="1" applyFill="1" applyBorder="1" applyAlignment="1">
      <alignment horizontal="center" vertical="center" wrapText="1"/>
    </xf>
    <xf numFmtId="9" fontId="14" fillId="21" borderId="9" xfId="3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87" fontId="17" fillId="17" borderId="1" xfId="1" applyNumberFormat="1" applyFont="1" applyFill="1" applyBorder="1" applyAlignment="1">
      <alignment horizontal="center"/>
    </xf>
    <xf numFmtId="187" fontId="7" fillId="0" borderId="1" xfId="1" applyNumberFormat="1" applyFont="1" applyBorder="1"/>
    <xf numFmtId="0" fontId="8" fillId="0" borderId="1" xfId="0" applyFont="1" applyBorder="1" applyAlignment="1">
      <alignment horizontal="center"/>
    </xf>
    <xf numFmtId="43" fontId="7" fillId="0" borderId="1" xfId="1" applyFont="1" applyBorder="1"/>
    <xf numFmtId="0" fontId="5" fillId="12" borderId="8" xfId="0" applyFont="1" applyFill="1" applyBorder="1" applyAlignment="1">
      <alignment horizontal="center" vertical="center" wrapText="1"/>
    </xf>
    <xf numFmtId="187" fontId="16" fillId="12" borderId="8" xfId="0" applyNumberFormat="1" applyFont="1" applyFill="1" applyBorder="1" applyAlignment="1">
      <alignment horizontal="center" vertical="center" wrapText="1"/>
    </xf>
    <xf numFmtId="9" fontId="14" fillId="12" borderId="8" xfId="3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187" fontId="16" fillId="14" borderId="7" xfId="0" applyNumberFormat="1" applyFont="1" applyFill="1" applyBorder="1" applyAlignment="1">
      <alignment horizontal="center" vertical="center" wrapText="1"/>
    </xf>
    <xf numFmtId="9" fontId="14" fillId="14" borderId="7" xfId="3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43" fontId="17" fillId="15" borderId="1" xfId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87" fontId="7" fillId="3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40BF2FF7-DDB9-4C64-8F95-6B26C1A78BCA}"/>
    <cellStyle name="Percent" xfId="3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is%20LL\&#3592;&#3633;&#3604;&#3626;&#3633;&#3617;&#3609;&#3634;%2069\&#3619;&#3634;&#3618;&#3594;&#3639;&#3656;&#3629;&#3619;&#3656;&#3623;&#3617;&#3591;&#3634;&#3609;\&#3586;&#3657;&#3629;&#3617;&#3641;&#3621;&#3619;&#3623;&#3617;%20(version%201).xlsx" TargetMode="External"/><Relationship Id="rId1" Type="http://schemas.openxmlformats.org/officeDocument/2006/relationships/externalLinkPath" Target="file:///D:\Dis%20LL\&#3592;&#3633;&#3604;&#3626;&#3633;&#3617;&#3609;&#3634;%2069\&#3619;&#3634;&#3618;&#3594;&#3639;&#3656;&#3629;&#3619;&#3656;&#3623;&#3617;&#3591;&#3634;&#3609;\&#3586;&#3657;&#3629;&#3617;&#3641;&#3621;&#3619;&#3623;&#3617;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ร้านค้า"/>
      <sheetName val="ร้านค้า (เพิ่มเติม"/>
      <sheetName val="ผู้ใช้"/>
      <sheetName val="ออม"/>
      <sheetName val="หวาน"/>
      <sheetName val="นิว"/>
      <sheetName val="เม"/>
      <sheetName val="อาท"/>
      <sheetName val="รวม"/>
      <sheetName val="ตั่งเป้า ส่งพี่ยนต์"/>
      <sheetName val="Sheet1"/>
    </sheetNames>
    <sheetDataSet>
      <sheetData sheetId="0"/>
      <sheetData sheetId="1">
        <row r="9">
          <cell r="O9">
            <v>840</v>
          </cell>
        </row>
        <row r="13">
          <cell r="O13">
            <v>200</v>
          </cell>
        </row>
        <row r="18">
          <cell r="O18">
            <v>360</v>
          </cell>
        </row>
        <row r="28">
          <cell r="O28">
            <v>1540</v>
          </cell>
        </row>
        <row r="35">
          <cell r="O35">
            <v>1000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7579-6E18-4F90-880C-7E7220C6DAD3}">
  <dimension ref="A1:AD50"/>
  <sheetViews>
    <sheetView tabSelected="1" topLeftCell="B1" zoomScale="40" zoomScaleNormal="4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V1" sqref="V1:AD1"/>
    </sheetView>
  </sheetViews>
  <sheetFormatPr defaultColWidth="8.75" defaultRowHeight="19.5" x14ac:dyDescent="0.25"/>
  <cols>
    <col min="1" max="1" width="13.125" style="1" bestFit="1" customWidth="1"/>
    <col min="2" max="2" width="20" style="1" customWidth="1"/>
    <col min="3" max="3" width="19.375" style="2" customWidth="1"/>
    <col min="4" max="4" width="46" style="1" customWidth="1"/>
    <col min="5" max="5" width="37.625" style="2" customWidth="1"/>
    <col min="6" max="6" width="37.625" style="1" customWidth="1"/>
    <col min="7" max="7" width="31.75" style="1" customWidth="1"/>
    <col min="8" max="8" width="26.125" style="1" customWidth="1"/>
    <col min="9" max="9" width="25.375" style="2" customWidth="1"/>
    <col min="10" max="10" width="20.625" style="2" customWidth="1"/>
    <col min="11" max="12" width="16.25" style="2" bestFit="1" customWidth="1"/>
    <col min="13" max="13" width="19.625" style="2" bestFit="1" customWidth="1"/>
    <col min="14" max="14" width="16.25" style="2" bestFit="1" customWidth="1"/>
    <col min="15" max="16" width="26.875" style="2" customWidth="1"/>
    <col min="17" max="17" width="8.75" style="1" hidden="1" customWidth="1"/>
    <col min="18" max="18" width="14.75" style="1" hidden="1" customWidth="1"/>
    <col min="19" max="20" width="8.75" style="1" hidden="1" customWidth="1"/>
    <col min="21" max="21" width="18.625" style="1" hidden="1" customWidth="1"/>
    <col min="22" max="22" width="47.25" style="1" customWidth="1"/>
    <col min="23" max="23" width="40.75" style="1" customWidth="1"/>
    <col min="24" max="24" width="30.625" style="1" customWidth="1"/>
    <col min="25" max="25" width="26.25" style="1" customWidth="1"/>
    <col min="26" max="29" width="18.125" style="1" customWidth="1"/>
    <col min="30" max="30" width="45.5" style="1" customWidth="1"/>
    <col min="31" max="16384" width="8.75" style="1"/>
  </cols>
  <sheetData>
    <row r="1" spans="1:30" ht="54.75" customHeight="1" thickBot="1" x14ac:dyDescent="0.45">
      <c r="A1" s="177" t="s">
        <v>0</v>
      </c>
      <c r="B1" s="177"/>
      <c r="C1" s="177"/>
      <c r="O1" s="148"/>
      <c r="P1" s="105">
        <v>1</v>
      </c>
      <c r="V1" s="165"/>
      <c r="W1" s="165"/>
      <c r="X1" s="165"/>
      <c r="Y1" s="165"/>
      <c r="Z1" s="165"/>
      <c r="AA1" s="165"/>
      <c r="AB1" s="165"/>
      <c r="AC1" s="165"/>
      <c r="AD1" s="165"/>
    </row>
    <row r="2" spans="1:30" s="68" customFormat="1" ht="33.6" customHeight="1" thickBot="1" x14ac:dyDescent="0.3">
      <c r="A2" s="175" t="s">
        <v>1</v>
      </c>
      <c r="B2" s="175" t="s">
        <v>2</v>
      </c>
      <c r="C2" s="176" t="s">
        <v>3</v>
      </c>
      <c r="D2" s="175" t="s">
        <v>4</v>
      </c>
      <c r="E2" s="175" t="s">
        <v>5</v>
      </c>
      <c r="F2" s="175" t="s">
        <v>6</v>
      </c>
      <c r="G2" s="176" t="s">
        <v>7</v>
      </c>
      <c r="H2" s="175" t="s">
        <v>8</v>
      </c>
      <c r="I2" s="90" t="s">
        <v>9</v>
      </c>
      <c r="J2" s="90"/>
      <c r="K2" s="90"/>
      <c r="L2" s="90"/>
      <c r="M2" s="90"/>
      <c r="N2" s="90"/>
      <c r="O2" s="169" t="s">
        <v>142</v>
      </c>
      <c r="P2" s="167" t="s">
        <v>156</v>
      </c>
      <c r="V2" s="161" t="s">
        <v>152</v>
      </c>
      <c r="W2" s="161" t="s">
        <v>141</v>
      </c>
      <c r="X2" s="87" t="s">
        <v>9</v>
      </c>
      <c r="Y2" s="88"/>
      <c r="Z2" s="88"/>
      <c r="AA2" s="88"/>
      <c r="AB2" s="88"/>
      <c r="AC2" s="89"/>
      <c r="AD2" s="159" t="s">
        <v>143</v>
      </c>
    </row>
    <row r="3" spans="1:30" s="68" customFormat="1" ht="20.25" thickBot="1" x14ac:dyDescent="0.3">
      <c r="A3" s="175"/>
      <c r="B3" s="175"/>
      <c r="C3" s="176"/>
      <c r="D3" s="175"/>
      <c r="E3" s="175"/>
      <c r="F3" s="175"/>
      <c r="G3" s="176"/>
      <c r="H3" s="175"/>
      <c r="I3" s="67">
        <v>40</v>
      </c>
      <c r="J3" s="67">
        <v>80</v>
      </c>
      <c r="K3" s="67">
        <v>120</v>
      </c>
      <c r="L3" s="67">
        <v>200</v>
      </c>
      <c r="M3" s="67">
        <v>300</v>
      </c>
      <c r="N3" s="67">
        <v>600</v>
      </c>
      <c r="O3" s="169"/>
      <c r="P3" s="167"/>
      <c r="V3" s="162"/>
      <c r="W3" s="162"/>
      <c r="X3" s="77">
        <v>40</v>
      </c>
      <c r="Y3" s="77">
        <v>80</v>
      </c>
      <c r="Z3" s="77">
        <v>120</v>
      </c>
      <c r="AA3" s="77">
        <v>200</v>
      </c>
      <c r="AB3" s="77">
        <v>300</v>
      </c>
      <c r="AC3" s="83">
        <v>600</v>
      </c>
      <c r="AD3" s="160"/>
    </row>
    <row r="4" spans="1:30" x14ac:dyDescent="0.25">
      <c r="A4" s="174" t="s">
        <v>10</v>
      </c>
      <c r="B4" s="3">
        <v>1</v>
      </c>
      <c r="C4" s="3">
        <v>1</v>
      </c>
      <c r="D4" s="4" t="s">
        <v>11</v>
      </c>
      <c r="E4" s="3" t="s">
        <v>12</v>
      </c>
      <c r="F4" s="3"/>
      <c r="G4" s="3">
        <v>2</v>
      </c>
      <c r="H4" s="3">
        <v>1</v>
      </c>
      <c r="I4" s="3"/>
      <c r="J4" s="3">
        <v>80</v>
      </c>
      <c r="K4" s="3"/>
      <c r="L4" s="3"/>
      <c r="M4" s="3"/>
      <c r="N4" s="3">
        <v>600</v>
      </c>
      <c r="O4" s="3">
        <f>SUM(I4:N4)</f>
        <v>680</v>
      </c>
      <c r="P4" s="3">
        <v>1</v>
      </c>
      <c r="R4" s="2"/>
      <c r="S4" s="2"/>
      <c r="V4" s="71">
        <v>1</v>
      </c>
      <c r="W4" s="71">
        <v>2</v>
      </c>
      <c r="X4" s="73"/>
      <c r="Y4" s="73">
        <v>80</v>
      </c>
      <c r="Z4" s="73"/>
      <c r="AA4" s="73"/>
      <c r="AB4" s="73"/>
      <c r="AC4" s="84">
        <v>600</v>
      </c>
      <c r="AD4" s="71">
        <f>SUM(X4:AC4)</f>
        <v>680</v>
      </c>
    </row>
    <row r="5" spans="1:30" x14ac:dyDescent="0.25">
      <c r="A5" s="174"/>
      <c r="B5" s="3">
        <v>2</v>
      </c>
      <c r="C5" s="3">
        <v>2</v>
      </c>
      <c r="D5" s="4" t="s">
        <v>13</v>
      </c>
      <c r="E5" s="3" t="s">
        <v>12</v>
      </c>
      <c r="F5" s="3"/>
      <c r="G5" s="3">
        <v>2</v>
      </c>
      <c r="H5" s="3">
        <v>1</v>
      </c>
      <c r="I5" s="3">
        <v>40</v>
      </c>
      <c r="J5" s="3" t="s">
        <v>14</v>
      </c>
      <c r="K5" s="3"/>
      <c r="L5" s="3"/>
      <c r="M5" s="3"/>
      <c r="N5" s="3"/>
      <c r="O5" s="3">
        <f t="shared" ref="O5:O30" si="0">SUM(I5:N5)</f>
        <v>40</v>
      </c>
      <c r="P5" s="3">
        <v>1</v>
      </c>
      <c r="V5" s="71">
        <v>1</v>
      </c>
      <c r="W5" s="71">
        <v>1</v>
      </c>
      <c r="X5" s="71">
        <v>40</v>
      </c>
      <c r="Y5" s="71" t="s">
        <v>14</v>
      </c>
      <c r="Z5" s="71"/>
      <c r="AA5" s="71"/>
      <c r="AB5" s="71"/>
      <c r="AC5" s="85"/>
      <c r="AD5" s="71">
        <f t="shared" ref="AD5:AD30" si="1">SUM(X5:AC5)</f>
        <v>40</v>
      </c>
    </row>
    <row r="6" spans="1:30" x14ac:dyDescent="0.25">
      <c r="A6" s="174"/>
      <c r="B6" s="3">
        <v>3</v>
      </c>
      <c r="C6" s="3">
        <v>3</v>
      </c>
      <c r="D6" s="5" t="s">
        <v>15</v>
      </c>
      <c r="E6" s="3" t="s">
        <v>12</v>
      </c>
      <c r="F6" s="6" t="s">
        <v>16</v>
      </c>
      <c r="G6" s="3">
        <v>2</v>
      </c>
      <c r="H6" s="3">
        <v>1</v>
      </c>
      <c r="I6" s="3">
        <v>40</v>
      </c>
      <c r="J6" s="3"/>
      <c r="K6" s="3"/>
      <c r="L6" s="3"/>
      <c r="M6" s="3"/>
      <c r="N6" s="3"/>
      <c r="O6" s="3">
        <f t="shared" si="0"/>
        <v>40</v>
      </c>
      <c r="P6" s="3">
        <v>1</v>
      </c>
      <c r="V6" s="71">
        <v>1</v>
      </c>
      <c r="W6" s="71">
        <v>2</v>
      </c>
      <c r="X6" s="71">
        <v>40</v>
      </c>
      <c r="Y6" s="71"/>
      <c r="Z6" s="71"/>
      <c r="AA6" s="71"/>
      <c r="AB6" s="71"/>
      <c r="AC6" s="85"/>
      <c r="AD6" s="71">
        <f t="shared" si="1"/>
        <v>40</v>
      </c>
    </row>
    <row r="7" spans="1:30" x14ac:dyDescent="0.25">
      <c r="A7" s="174"/>
      <c r="B7" s="3">
        <v>4</v>
      </c>
      <c r="C7" s="3">
        <v>4</v>
      </c>
      <c r="D7" s="5" t="s">
        <v>17</v>
      </c>
      <c r="E7" s="3" t="s">
        <v>12</v>
      </c>
      <c r="F7" s="6" t="s">
        <v>16</v>
      </c>
      <c r="G7" s="3">
        <v>2</v>
      </c>
      <c r="H7" s="3">
        <v>1</v>
      </c>
      <c r="I7" s="3">
        <v>40</v>
      </c>
      <c r="J7" s="3"/>
      <c r="K7" s="3"/>
      <c r="L7" s="3"/>
      <c r="M7" s="3"/>
      <c r="N7" s="3"/>
      <c r="O7" s="3">
        <f t="shared" si="0"/>
        <v>40</v>
      </c>
      <c r="P7" s="3">
        <v>1</v>
      </c>
      <c r="V7" s="71"/>
      <c r="W7" s="71">
        <v>2</v>
      </c>
      <c r="X7" s="71">
        <v>40</v>
      </c>
      <c r="Y7" s="71"/>
      <c r="Z7" s="71"/>
      <c r="AA7" s="71"/>
      <c r="AB7" s="71"/>
      <c r="AC7" s="85"/>
      <c r="AD7" s="71">
        <f t="shared" si="1"/>
        <v>40</v>
      </c>
    </row>
    <row r="8" spans="1:30" x14ac:dyDescent="0.25">
      <c r="A8" s="174"/>
      <c r="B8" s="3">
        <v>5</v>
      </c>
      <c r="C8" s="3">
        <v>5</v>
      </c>
      <c r="D8" s="5" t="s">
        <v>18</v>
      </c>
      <c r="E8" s="3" t="s">
        <v>12</v>
      </c>
      <c r="F8" s="6" t="s">
        <v>16</v>
      </c>
      <c r="G8" s="3">
        <v>2</v>
      </c>
      <c r="H8" s="3">
        <v>1</v>
      </c>
      <c r="I8" s="3">
        <v>40</v>
      </c>
      <c r="J8" s="3"/>
      <c r="K8" s="3"/>
      <c r="L8" s="3"/>
      <c r="M8" s="3"/>
      <c r="N8" s="3"/>
      <c r="O8" s="3">
        <f t="shared" si="0"/>
        <v>40</v>
      </c>
      <c r="P8" s="3">
        <v>1</v>
      </c>
      <c r="V8" s="71">
        <v>1</v>
      </c>
      <c r="W8" s="71">
        <v>2</v>
      </c>
      <c r="X8" s="71">
        <v>40</v>
      </c>
      <c r="Y8" s="71"/>
      <c r="Z8" s="71"/>
      <c r="AA8" s="71"/>
      <c r="AB8" s="71"/>
      <c r="AC8" s="85"/>
      <c r="AD8" s="71">
        <f t="shared" si="1"/>
        <v>40</v>
      </c>
    </row>
    <row r="9" spans="1:30" x14ac:dyDescent="0.25">
      <c r="A9" s="170" t="s">
        <v>20</v>
      </c>
      <c r="B9" s="8">
        <v>1</v>
      </c>
      <c r="C9" s="8">
        <v>6</v>
      </c>
      <c r="D9" s="9" t="s">
        <v>21</v>
      </c>
      <c r="E9" s="7" t="s">
        <v>22</v>
      </c>
      <c r="F9" s="8"/>
      <c r="G9" s="8">
        <v>2</v>
      </c>
      <c r="H9" s="8">
        <v>1</v>
      </c>
      <c r="I9" s="8"/>
      <c r="J9" s="8"/>
      <c r="K9" s="8">
        <v>120</v>
      </c>
      <c r="L9" s="8"/>
      <c r="M9" s="8"/>
      <c r="N9" s="8"/>
      <c r="O9" s="3">
        <f t="shared" si="0"/>
        <v>120</v>
      </c>
      <c r="P9" s="3">
        <v>1</v>
      </c>
      <c r="V9" s="71">
        <v>1</v>
      </c>
      <c r="W9" s="71">
        <v>1</v>
      </c>
      <c r="X9" s="71"/>
      <c r="Y9" s="71"/>
      <c r="Z9" s="78"/>
      <c r="AA9" s="71"/>
      <c r="AB9" s="71"/>
      <c r="AC9" s="85"/>
      <c r="AD9" s="71">
        <f t="shared" si="1"/>
        <v>0</v>
      </c>
    </row>
    <row r="10" spans="1:30" x14ac:dyDescent="0.25">
      <c r="A10" s="170"/>
      <c r="B10" s="8">
        <v>2</v>
      </c>
      <c r="C10" s="8">
        <v>7</v>
      </c>
      <c r="D10" s="9" t="s">
        <v>23</v>
      </c>
      <c r="E10" s="7" t="s">
        <v>22</v>
      </c>
      <c r="F10" s="8"/>
      <c r="G10" s="8">
        <v>2</v>
      </c>
      <c r="H10" s="8">
        <v>1</v>
      </c>
      <c r="I10" s="7">
        <v>40</v>
      </c>
      <c r="J10" s="8"/>
      <c r="K10" s="8"/>
      <c r="L10" s="8"/>
      <c r="M10" s="8"/>
      <c r="N10" s="8"/>
      <c r="O10" s="3">
        <f t="shared" si="0"/>
        <v>40</v>
      </c>
      <c r="P10" s="3">
        <v>1</v>
      </c>
      <c r="V10" s="71">
        <v>1</v>
      </c>
      <c r="W10" s="71">
        <v>2</v>
      </c>
      <c r="X10" s="78"/>
      <c r="Y10" s="71"/>
      <c r="Z10" s="71"/>
      <c r="AA10" s="71"/>
      <c r="AB10" s="71"/>
      <c r="AC10" s="85"/>
      <c r="AD10" s="71">
        <f t="shared" si="1"/>
        <v>0</v>
      </c>
    </row>
    <row r="11" spans="1:30" x14ac:dyDescent="0.25">
      <c r="A11" s="170"/>
      <c r="B11" s="8">
        <v>3</v>
      </c>
      <c r="C11" s="8">
        <v>8</v>
      </c>
      <c r="D11" s="9" t="s">
        <v>24</v>
      </c>
      <c r="E11" s="7" t="s">
        <v>22</v>
      </c>
      <c r="F11" s="8"/>
      <c r="G11" s="8">
        <v>2</v>
      </c>
      <c r="H11" s="8">
        <v>1</v>
      </c>
      <c r="I11" s="8">
        <v>40</v>
      </c>
      <c r="J11" s="8"/>
      <c r="K11" s="8"/>
      <c r="L11" s="8"/>
      <c r="M11" s="8"/>
      <c r="N11" s="8"/>
      <c r="O11" s="3">
        <f t="shared" si="0"/>
        <v>40</v>
      </c>
      <c r="P11" s="3">
        <v>1</v>
      </c>
      <c r="V11" s="71">
        <v>1</v>
      </c>
      <c r="W11" s="71">
        <v>2</v>
      </c>
      <c r="X11" s="78"/>
      <c r="Y11" s="71"/>
      <c r="Z11" s="71"/>
      <c r="AA11" s="71"/>
      <c r="AB11" s="71"/>
      <c r="AC11" s="85"/>
      <c r="AD11" s="71">
        <f t="shared" si="1"/>
        <v>0</v>
      </c>
    </row>
    <row r="12" spans="1:30" x14ac:dyDescent="0.25">
      <c r="A12" s="174" t="s">
        <v>25</v>
      </c>
      <c r="B12" s="10">
        <v>1</v>
      </c>
      <c r="C12" s="3">
        <v>9</v>
      </c>
      <c r="D12" s="4" t="s">
        <v>26</v>
      </c>
      <c r="E12" s="3" t="s">
        <v>27</v>
      </c>
      <c r="F12" s="4"/>
      <c r="G12" s="3">
        <v>2</v>
      </c>
      <c r="H12" s="3">
        <v>1</v>
      </c>
      <c r="I12" s="3"/>
      <c r="J12" s="3"/>
      <c r="K12" s="3">
        <v>120</v>
      </c>
      <c r="L12" s="3"/>
      <c r="M12" s="3"/>
      <c r="N12" s="8"/>
      <c r="O12" s="3">
        <f t="shared" si="0"/>
        <v>120</v>
      </c>
      <c r="P12" s="3">
        <v>1</v>
      </c>
      <c r="V12" s="71">
        <v>1</v>
      </c>
      <c r="W12" s="71">
        <v>2</v>
      </c>
      <c r="X12" s="71"/>
      <c r="Y12" s="71"/>
      <c r="Z12" s="71">
        <v>120</v>
      </c>
      <c r="AA12" s="71"/>
      <c r="AB12" s="71"/>
      <c r="AC12" s="85"/>
      <c r="AD12" s="71">
        <f t="shared" si="1"/>
        <v>120</v>
      </c>
    </row>
    <row r="13" spans="1:30" x14ac:dyDescent="0.25">
      <c r="A13" s="174"/>
      <c r="B13" s="10">
        <v>2</v>
      </c>
      <c r="C13" s="3">
        <v>10</v>
      </c>
      <c r="D13" s="4" t="s">
        <v>28</v>
      </c>
      <c r="E13" s="3" t="s">
        <v>27</v>
      </c>
      <c r="F13" s="4"/>
      <c r="G13" s="3">
        <v>2</v>
      </c>
      <c r="H13" s="3">
        <v>1</v>
      </c>
      <c r="I13" s="3"/>
      <c r="J13" s="3">
        <v>80</v>
      </c>
      <c r="K13" s="3"/>
      <c r="L13" s="3"/>
      <c r="M13" s="3"/>
      <c r="N13" s="3"/>
      <c r="O13" s="3">
        <f t="shared" si="0"/>
        <v>80</v>
      </c>
      <c r="P13" s="3">
        <v>1</v>
      </c>
      <c r="V13" s="71">
        <v>1</v>
      </c>
      <c r="W13" s="71">
        <v>1</v>
      </c>
      <c r="X13" s="71"/>
      <c r="Y13" s="71">
        <v>80</v>
      </c>
      <c r="Z13" s="71"/>
      <c r="AA13" s="71"/>
      <c r="AB13" s="71"/>
      <c r="AC13" s="85"/>
      <c r="AD13" s="71">
        <f t="shared" si="1"/>
        <v>80</v>
      </c>
    </row>
    <row r="14" spans="1:30" x14ac:dyDescent="0.25">
      <c r="A14" s="174"/>
      <c r="B14" s="3">
        <v>3</v>
      </c>
      <c r="C14" s="3">
        <v>11</v>
      </c>
      <c r="D14" s="4" t="s">
        <v>29</v>
      </c>
      <c r="E14" s="3" t="s">
        <v>27</v>
      </c>
      <c r="F14" s="6" t="s">
        <v>16</v>
      </c>
      <c r="G14" s="3">
        <v>2</v>
      </c>
      <c r="H14" s="3">
        <v>1</v>
      </c>
      <c r="I14" s="3">
        <v>40</v>
      </c>
      <c r="J14" s="3"/>
      <c r="K14" s="3"/>
      <c r="L14" s="3"/>
      <c r="M14" s="3"/>
      <c r="N14" s="3"/>
      <c r="O14" s="3">
        <f t="shared" si="0"/>
        <v>40</v>
      </c>
      <c r="P14" s="3">
        <v>1</v>
      </c>
      <c r="V14" s="71"/>
      <c r="W14" s="71">
        <v>2</v>
      </c>
      <c r="X14" s="71">
        <v>40</v>
      </c>
      <c r="Y14" s="71"/>
      <c r="Z14" s="71"/>
      <c r="AA14" s="71"/>
      <c r="AB14" s="71"/>
      <c r="AC14" s="85"/>
      <c r="AD14" s="71">
        <f t="shared" si="1"/>
        <v>40</v>
      </c>
    </row>
    <row r="15" spans="1:30" x14ac:dyDescent="0.25">
      <c r="A15" s="174"/>
      <c r="B15" s="3">
        <v>4</v>
      </c>
      <c r="C15" s="3">
        <v>12</v>
      </c>
      <c r="D15" s="4" t="s">
        <v>30</v>
      </c>
      <c r="E15" s="3" t="s">
        <v>27</v>
      </c>
      <c r="F15" s="6" t="s">
        <v>16</v>
      </c>
      <c r="G15" s="3">
        <v>2</v>
      </c>
      <c r="H15" s="3">
        <v>1</v>
      </c>
      <c r="I15" s="3"/>
      <c r="J15" s="3"/>
      <c r="K15" s="3">
        <v>120</v>
      </c>
      <c r="L15" s="3"/>
      <c r="M15" s="3"/>
      <c r="N15" s="3"/>
      <c r="O15" s="3">
        <f t="shared" si="0"/>
        <v>120</v>
      </c>
      <c r="P15" s="3">
        <v>1</v>
      </c>
      <c r="V15" s="71">
        <v>1</v>
      </c>
      <c r="W15" s="71">
        <v>2</v>
      </c>
      <c r="X15" s="71"/>
      <c r="Y15" s="71"/>
      <c r="Z15" s="71">
        <v>120</v>
      </c>
      <c r="AA15" s="71"/>
      <c r="AB15" s="71"/>
      <c r="AC15" s="85"/>
      <c r="AD15" s="71">
        <f t="shared" si="1"/>
        <v>120</v>
      </c>
    </row>
    <row r="16" spans="1:30" x14ac:dyDescent="0.25">
      <c r="A16" s="170" t="s">
        <v>31</v>
      </c>
      <c r="B16" s="8">
        <v>1</v>
      </c>
      <c r="C16" s="8">
        <v>13</v>
      </c>
      <c r="D16" s="11" t="s">
        <v>32</v>
      </c>
      <c r="E16" s="8" t="s">
        <v>33</v>
      </c>
      <c r="F16" s="9"/>
      <c r="G16" s="8">
        <v>2</v>
      </c>
      <c r="H16" s="8">
        <v>1</v>
      </c>
      <c r="I16" s="8"/>
      <c r="J16" s="8"/>
      <c r="K16" s="8"/>
      <c r="L16" s="8" t="s">
        <v>14</v>
      </c>
      <c r="M16" s="8">
        <v>300</v>
      </c>
      <c r="N16" s="8"/>
      <c r="O16" s="3">
        <f t="shared" si="0"/>
        <v>300</v>
      </c>
      <c r="P16" s="3">
        <v>1</v>
      </c>
      <c r="R16" s="1" t="s">
        <v>34</v>
      </c>
      <c r="V16" s="71">
        <v>1</v>
      </c>
      <c r="W16" s="71">
        <v>2</v>
      </c>
      <c r="X16" s="71"/>
      <c r="Y16" s="71"/>
      <c r="Z16" s="71"/>
      <c r="AA16" s="71" t="s">
        <v>14</v>
      </c>
      <c r="AB16" s="71">
        <v>300</v>
      </c>
      <c r="AC16" s="85"/>
      <c r="AD16" s="71">
        <f t="shared" si="1"/>
        <v>300</v>
      </c>
    </row>
    <row r="17" spans="1:30" ht="21" customHeight="1" x14ac:dyDescent="0.25">
      <c r="A17" s="170"/>
      <c r="B17" s="8">
        <v>2</v>
      </c>
      <c r="C17" s="8">
        <v>14</v>
      </c>
      <c r="D17" s="11" t="s">
        <v>35</v>
      </c>
      <c r="E17" s="8" t="s">
        <v>33</v>
      </c>
      <c r="F17" s="9"/>
      <c r="G17" s="8">
        <v>2</v>
      </c>
      <c r="H17" s="8">
        <v>1</v>
      </c>
      <c r="I17" s="8"/>
      <c r="J17" s="8"/>
      <c r="K17" s="8"/>
      <c r="L17" s="8" t="s">
        <v>14</v>
      </c>
      <c r="M17" s="8">
        <v>300</v>
      </c>
      <c r="N17" s="8"/>
      <c r="O17" s="3">
        <f t="shared" si="0"/>
        <v>300</v>
      </c>
      <c r="P17" s="3">
        <v>1</v>
      </c>
      <c r="V17" s="71">
        <v>1</v>
      </c>
      <c r="W17" s="71">
        <v>2</v>
      </c>
      <c r="X17" s="71"/>
      <c r="Y17" s="71"/>
      <c r="Z17" s="71"/>
      <c r="AA17" s="71" t="s">
        <v>14</v>
      </c>
      <c r="AB17" s="78"/>
      <c r="AC17" s="85"/>
      <c r="AD17" s="71">
        <f t="shared" si="1"/>
        <v>0</v>
      </c>
    </row>
    <row r="18" spans="1:30" x14ac:dyDescent="0.25">
      <c r="A18" s="170"/>
      <c r="B18" s="13">
        <v>3</v>
      </c>
      <c r="C18" s="8">
        <v>15</v>
      </c>
      <c r="D18" s="14" t="s">
        <v>36</v>
      </c>
      <c r="E18" s="8" t="s">
        <v>37</v>
      </c>
      <c r="F18" s="9"/>
      <c r="G18" s="8">
        <v>2</v>
      </c>
      <c r="H18" s="8">
        <v>1</v>
      </c>
      <c r="I18" s="8"/>
      <c r="J18" s="8"/>
      <c r="K18" s="8" t="s">
        <v>14</v>
      </c>
      <c r="L18" s="8" t="s">
        <v>14</v>
      </c>
      <c r="M18" s="8">
        <v>300</v>
      </c>
      <c r="N18" s="8"/>
      <c r="O18" s="3">
        <f t="shared" si="0"/>
        <v>300</v>
      </c>
      <c r="P18" s="3">
        <v>1</v>
      </c>
      <c r="V18" s="71">
        <v>1</v>
      </c>
      <c r="W18" s="71">
        <v>1</v>
      </c>
      <c r="X18" s="71"/>
      <c r="Y18" s="71"/>
      <c r="Z18" s="71" t="s">
        <v>14</v>
      </c>
      <c r="AA18" s="71" t="s">
        <v>14</v>
      </c>
      <c r="AB18" s="78"/>
      <c r="AC18" s="85"/>
      <c r="AD18" s="71">
        <f t="shared" si="1"/>
        <v>0</v>
      </c>
    </row>
    <row r="19" spans="1:30" x14ac:dyDescent="0.25">
      <c r="A19" s="170"/>
      <c r="B19" s="13">
        <v>4</v>
      </c>
      <c r="C19" s="8">
        <v>16</v>
      </c>
      <c r="D19" s="11" t="s">
        <v>38</v>
      </c>
      <c r="E19" s="8" t="s">
        <v>37</v>
      </c>
      <c r="F19" s="9"/>
      <c r="G19" s="8">
        <v>2</v>
      </c>
      <c r="H19" s="8">
        <v>1</v>
      </c>
      <c r="I19" s="8"/>
      <c r="J19" s="8"/>
      <c r="K19" s="8"/>
      <c r="L19" s="8">
        <v>200</v>
      </c>
      <c r="M19" s="8"/>
      <c r="N19" s="8"/>
      <c r="O19" s="3">
        <f t="shared" si="0"/>
        <v>200</v>
      </c>
      <c r="P19" s="3">
        <v>1</v>
      </c>
      <c r="V19" s="71">
        <v>1</v>
      </c>
      <c r="W19" s="71">
        <v>2</v>
      </c>
      <c r="X19" s="71"/>
      <c r="Y19" s="71"/>
      <c r="Z19" s="71"/>
      <c r="AA19" s="71">
        <v>200</v>
      </c>
      <c r="AB19" s="71"/>
      <c r="AC19" s="85"/>
      <c r="AD19" s="71">
        <f t="shared" si="1"/>
        <v>200</v>
      </c>
    </row>
    <row r="20" spans="1:30" x14ac:dyDescent="0.25">
      <c r="A20" s="170"/>
      <c r="B20" s="13">
        <v>5</v>
      </c>
      <c r="C20" s="8">
        <v>17</v>
      </c>
      <c r="D20" s="14" t="s">
        <v>39</v>
      </c>
      <c r="E20" s="8" t="s">
        <v>37</v>
      </c>
      <c r="F20" s="9"/>
      <c r="G20" s="8">
        <v>2</v>
      </c>
      <c r="H20" s="8">
        <v>1</v>
      </c>
      <c r="I20" s="8"/>
      <c r="J20" s="8">
        <v>80</v>
      </c>
      <c r="K20" s="8"/>
      <c r="L20" s="8"/>
      <c r="M20" s="8"/>
      <c r="N20" s="8"/>
      <c r="O20" s="3">
        <f t="shared" si="0"/>
        <v>80</v>
      </c>
      <c r="P20" s="3">
        <v>1</v>
      </c>
      <c r="V20" s="71">
        <v>1</v>
      </c>
      <c r="W20" s="71">
        <v>2</v>
      </c>
      <c r="X20" s="71"/>
      <c r="Y20" s="71">
        <v>80</v>
      </c>
      <c r="Z20" s="71"/>
      <c r="AA20" s="71"/>
      <c r="AB20" s="71"/>
      <c r="AC20" s="85"/>
      <c r="AD20" s="71">
        <f t="shared" si="1"/>
        <v>80</v>
      </c>
    </row>
    <row r="21" spans="1:30" x14ac:dyDescent="0.25">
      <c r="A21" s="170"/>
      <c r="B21" s="8">
        <v>6</v>
      </c>
      <c r="C21" s="8">
        <v>18</v>
      </c>
      <c r="D21" s="14" t="s">
        <v>40</v>
      </c>
      <c r="E21" s="8" t="s">
        <v>37</v>
      </c>
      <c r="F21" s="6" t="s">
        <v>16</v>
      </c>
      <c r="G21" s="8">
        <v>2</v>
      </c>
      <c r="H21" s="8">
        <v>1</v>
      </c>
      <c r="I21" s="8"/>
      <c r="J21" s="8"/>
      <c r="K21" s="8">
        <v>120</v>
      </c>
      <c r="L21" s="8"/>
      <c r="M21" s="8"/>
      <c r="N21" s="8"/>
      <c r="O21" s="3">
        <f t="shared" si="0"/>
        <v>120</v>
      </c>
      <c r="P21" s="3">
        <v>1</v>
      </c>
      <c r="V21" s="71">
        <v>1</v>
      </c>
      <c r="W21" s="71">
        <v>1</v>
      </c>
      <c r="X21" s="71"/>
      <c r="Y21" s="71"/>
      <c r="Z21" s="71">
        <v>120</v>
      </c>
      <c r="AA21" s="71"/>
      <c r="AB21" s="71"/>
      <c r="AC21" s="85"/>
      <c r="AD21" s="71">
        <f t="shared" si="1"/>
        <v>120</v>
      </c>
    </row>
    <row r="22" spans="1:30" x14ac:dyDescent="0.25">
      <c r="A22" s="170"/>
      <c r="B22" s="8">
        <v>7</v>
      </c>
      <c r="C22" s="8">
        <v>19</v>
      </c>
      <c r="D22" s="14" t="s">
        <v>41</v>
      </c>
      <c r="E22" s="8" t="s">
        <v>37</v>
      </c>
      <c r="F22" s="9"/>
      <c r="G22" s="8">
        <v>2</v>
      </c>
      <c r="H22" s="8">
        <v>1</v>
      </c>
      <c r="I22" s="8"/>
      <c r="J22" s="8">
        <v>80</v>
      </c>
      <c r="K22" s="8"/>
      <c r="L22" s="8"/>
      <c r="M22" s="8"/>
      <c r="N22" s="8"/>
      <c r="O22" s="3">
        <f t="shared" si="0"/>
        <v>80</v>
      </c>
      <c r="P22" s="3">
        <v>1</v>
      </c>
      <c r="V22" s="71">
        <v>1</v>
      </c>
      <c r="W22" s="71">
        <v>1</v>
      </c>
      <c r="X22" s="71"/>
      <c r="Y22" s="71">
        <v>80</v>
      </c>
      <c r="Z22" s="71"/>
      <c r="AA22" s="71"/>
      <c r="AB22" s="71"/>
      <c r="AC22" s="85"/>
      <c r="AD22" s="71">
        <f t="shared" si="1"/>
        <v>80</v>
      </c>
    </row>
    <row r="23" spans="1:30" x14ac:dyDescent="0.25">
      <c r="A23" s="170"/>
      <c r="B23" s="13">
        <v>8</v>
      </c>
      <c r="C23" s="8">
        <v>20</v>
      </c>
      <c r="D23" s="9" t="s">
        <v>42</v>
      </c>
      <c r="E23" s="8" t="s">
        <v>43</v>
      </c>
      <c r="F23" s="9"/>
      <c r="G23" s="8">
        <v>2</v>
      </c>
      <c r="H23" s="8">
        <v>1</v>
      </c>
      <c r="I23" s="8"/>
      <c r="J23" s="8"/>
      <c r="K23" s="8">
        <v>120</v>
      </c>
      <c r="L23" s="8"/>
      <c r="M23" s="8"/>
      <c r="N23" s="8"/>
      <c r="O23" s="3">
        <f t="shared" si="0"/>
        <v>120</v>
      </c>
      <c r="P23" s="3">
        <v>1</v>
      </c>
      <c r="V23" s="71"/>
      <c r="W23" s="71">
        <v>2</v>
      </c>
      <c r="X23" s="71"/>
      <c r="Y23" s="71"/>
      <c r="Z23" s="71">
        <v>120</v>
      </c>
      <c r="AA23" s="71"/>
      <c r="AB23" s="71"/>
      <c r="AC23" s="85"/>
      <c r="AD23" s="71">
        <f t="shared" si="1"/>
        <v>120</v>
      </c>
    </row>
    <row r="24" spans="1:30" x14ac:dyDescent="0.25">
      <c r="A24" s="170"/>
      <c r="B24" s="13">
        <v>9</v>
      </c>
      <c r="C24" s="8">
        <v>21</v>
      </c>
      <c r="D24" s="9" t="s">
        <v>44</v>
      </c>
      <c r="E24" s="8" t="s">
        <v>45</v>
      </c>
      <c r="F24" s="6" t="s">
        <v>16</v>
      </c>
      <c r="G24" s="8">
        <v>2</v>
      </c>
      <c r="H24" s="8">
        <v>1</v>
      </c>
      <c r="I24" s="8">
        <v>40</v>
      </c>
      <c r="J24" s="8"/>
      <c r="K24" s="8"/>
      <c r="L24" s="8"/>
      <c r="M24" s="8"/>
      <c r="N24" s="8"/>
      <c r="O24" s="3">
        <f t="shared" si="0"/>
        <v>40</v>
      </c>
      <c r="P24" s="3">
        <v>1</v>
      </c>
      <c r="V24" s="71">
        <v>1</v>
      </c>
      <c r="W24" s="71">
        <v>2</v>
      </c>
      <c r="X24" s="71">
        <v>40</v>
      </c>
      <c r="Y24" s="71"/>
      <c r="Z24" s="71"/>
      <c r="AA24" s="71"/>
      <c r="AB24" s="71"/>
      <c r="AC24" s="85"/>
      <c r="AD24" s="71">
        <f t="shared" si="1"/>
        <v>40</v>
      </c>
    </row>
    <row r="25" spans="1:30" x14ac:dyDescent="0.25">
      <c r="A25" s="170" t="s">
        <v>46</v>
      </c>
      <c r="B25" s="8">
        <v>1</v>
      </c>
      <c r="C25" s="8">
        <v>22</v>
      </c>
      <c r="D25" s="15" t="s">
        <v>47</v>
      </c>
      <c r="E25" s="8" t="s">
        <v>48</v>
      </c>
      <c r="F25" s="6" t="s">
        <v>16</v>
      </c>
      <c r="G25" s="12">
        <v>2</v>
      </c>
      <c r="H25" s="12">
        <v>0</v>
      </c>
      <c r="I25" s="12"/>
      <c r="J25" s="12"/>
      <c r="K25" s="12"/>
      <c r="L25" s="12">
        <v>0</v>
      </c>
      <c r="M25" s="12">
        <v>0</v>
      </c>
      <c r="N25" s="12"/>
      <c r="O25" s="16">
        <f t="shared" si="0"/>
        <v>0</v>
      </c>
      <c r="P25" s="16"/>
      <c r="R25" s="1">
        <v>200</v>
      </c>
      <c r="S25" s="1">
        <v>300</v>
      </c>
      <c r="V25" s="71">
        <v>1</v>
      </c>
      <c r="W25" s="71">
        <v>2</v>
      </c>
      <c r="X25" s="71"/>
      <c r="Y25" s="71"/>
      <c r="Z25" s="71"/>
      <c r="AA25" s="71">
        <v>0</v>
      </c>
      <c r="AB25" s="71">
        <v>0</v>
      </c>
      <c r="AC25" s="85"/>
      <c r="AD25" s="71">
        <f t="shared" si="1"/>
        <v>0</v>
      </c>
    </row>
    <row r="26" spans="1:30" x14ac:dyDescent="0.25">
      <c r="A26" s="170"/>
      <c r="B26" s="8">
        <v>2</v>
      </c>
      <c r="C26" s="8">
        <v>23</v>
      </c>
      <c r="D26" s="9" t="s">
        <v>49</v>
      </c>
      <c r="E26" s="8" t="s">
        <v>48</v>
      </c>
      <c r="F26" s="8"/>
      <c r="G26" s="8">
        <v>2</v>
      </c>
      <c r="H26" s="8">
        <v>1</v>
      </c>
      <c r="I26" s="8"/>
      <c r="J26" s="8"/>
      <c r="K26" s="8"/>
      <c r="L26" s="8" t="s">
        <v>14</v>
      </c>
      <c r="M26" s="8">
        <v>300</v>
      </c>
      <c r="N26" s="8" t="s">
        <v>14</v>
      </c>
      <c r="O26" s="3">
        <f t="shared" si="0"/>
        <v>300</v>
      </c>
      <c r="P26" s="3">
        <v>1</v>
      </c>
      <c r="Q26" s="1" t="s">
        <v>50</v>
      </c>
      <c r="R26" s="1">
        <v>300</v>
      </c>
      <c r="U26" s="1" t="s">
        <v>51</v>
      </c>
      <c r="V26" s="71">
        <v>1</v>
      </c>
      <c r="W26" s="71">
        <v>1</v>
      </c>
      <c r="X26" s="71"/>
      <c r="Y26" s="71"/>
      <c r="Z26" s="71"/>
      <c r="AA26" s="71" t="s">
        <v>14</v>
      </c>
      <c r="AB26" s="71">
        <v>300</v>
      </c>
      <c r="AC26" s="85" t="s">
        <v>14</v>
      </c>
      <c r="AD26" s="71">
        <f t="shared" si="1"/>
        <v>300</v>
      </c>
    </row>
    <row r="27" spans="1:30" x14ac:dyDescent="0.25">
      <c r="A27" s="170"/>
      <c r="B27" s="8">
        <v>3</v>
      </c>
      <c r="C27" s="8">
        <v>24</v>
      </c>
      <c r="D27" s="9" t="s">
        <v>52</v>
      </c>
      <c r="E27" s="8" t="s">
        <v>53</v>
      </c>
      <c r="F27" s="8"/>
      <c r="G27" s="8">
        <v>2</v>
      </c>
      <c r="H27" s="8">
        <v>0</v>
      </c>
      <c r="I27" s="8"/>
      <c r="J27" s="8"/>
      <c r="K27" s="8"/>
      <c r="L27" s="8">
        <v>200</v>
      </c>
      <c r="M27" s="8"/>
      <c r="N27" s="8"/>
      <c r="O27" s="3">
        <f t="shared" si="0"/>
        <v>200</v>
      </c>
      <c r="P27" s="3">
        <v>1</v>
      </c>
      <c r="U27" s="1" t="s">
        <v>54</v>
      </c>
      <c r="V27" s="71"/>
      <c r="W27" s="71">
        <v>1</v>
      </c>
      <c r="X27" s="71"/>
      <c r="Y27" s="71"/>
      <c r="Z27" s="71"/>
      <c r="AA27" s="71">
        <v>200</v>
      </c>
      <c r="AB27" s="71"/>
      <c r="AC27" s="85"/>
      <c r="AD27" s="71">
        <f t="shared" si="1"/>
        <v>200</v>
      </c>
    </row>
    <row r="28" spans="1:30" x14ac:dyDescent="0.25">
      <c r="A28" s="170"/>
      <c r="B28" s="8">
        <v>4</v>
      </c>
      <c r="C28" s="8">
        <v>25</v>
      </c>
      <c r="D28" s="9" t="s">
        <v>55</v>
      </c>
      <c r="E28" s="8" t="s">
        <v>48</v>
      </c>
      <c r="F28" s="8"/>
      <c r="G28" s="8">
        <v>2</v>
      </c>
      <c r="H28" s="8">
        <v>1</v>
      </c>
      <c r="I28" s="8"/>
      <c r="J28" s="8"/>
      <c r="K28" s="8">
        <v>120</v>
      </c>
      <c r="L28" s="8"/>
      <c r="M28" s="8"/>
      <c r="N28" s="8"/>
      <c r="O28" s="3">
        <f t="shared" si="0"/>
        <v>120</v>
      </c>
      <c r="P28" s="3">
        <v>1</v>
      </c>
      <c r="U28" s="1" t="s">
        <v>56</v>
      </c>
      <c r="V28" s="71">
        <v>1</v>
      </c>
      <c r="W28" s="71">
        <v>1</v>
      </c>
      <c r="X28" s="71"/>
      <c r="Y28" s="71"/>
      <c r="Z28" s="71">
        <v>120</v>
      </c>
      <c r="AA28" s="71"/>
      <c r="AB28" s="71"/>
      <c r="AC28" s="85"/>
      <c r="AD28" s="71">
        <f t="shared" si="1"/>
        <v>120</v>
      </c>
    </row>
    <row r="29" spans="1:30" x14ac:dyDescent="0.25">
      <c r="A29" s="170"/>
      <c r="B29" s="8">
        <v>5</v>
      </c>
      <c r="C29" s="8">
        <v>26</v>
      </c>
      <c r="D29" s="9" t="s">
        <v>57</v>
      </c>
      <c r="E29" s="8" t="s">
        <v>53</v>
      </c>
      <c r="F29" s="8"/>
      <c r="G29" s="8">
        <v>4</v>
      </c>
      <c r="H29" s="8">
        <v>1</v>
      </c>
      <c r="I29" s="8">
        <v>40</v>
      </c>
      <c r="J29" s="8"/>
      <c r="K29" s="8"/>
      <c r="L29" s="8"/>
      <c r="M29" s="8"/>
      <c r="N29" s="8"/>
      <c r="O29" s="3">
        <f t="shared" si="0"/>
        <v>40</v>
      </c>
      <c r="P29" s="3">
        <v>1</v>
      </c>
      <c r="V29" s="71">
        <v>1</v>
      </c>
      <c r="W29" s="71">
        <v>1</v>
      </c>
      <c r="X29" s="71">
        <v>40</v>
      </c>
      <c r="Y29" s="71"/>
      <c r="Z29" s="71"/>
      <c r="AA29" s="71"/>
      <c r="AB29" s="71"/>
      <c r="AC29" s="85"/>
      <c r="AD29" s="71">
        <f t="shared" si="1"/>
        <v>40</v>
      </c>
    </row>
    <row r="30" spans="1:30" ht="20.25" thickBot="1" x14ac:dyDescent="0.3">
      <c r="A30" s="170"/>
      <c r="B30" s="8">
        <v>6</v>
      </c>
      <c r="C30" s="8">
        <v>27</v>
      </c>
      <c r="D30" s="9" t="s">
        <v>58</v>
      </c>
      <c r="E30" s="8" t="s">
        <v>53</v>
      </c>
      <c r="F30" s="8"/>
      <c r="G30" s="8">
        <v>2</v>
      </c>
      <c r="H30" s="8">
        <v>1</v>
      </c>
      <c r="I30" s="8">
        <v>40</v>
      </c>
      <c r="J30" s="8"/>
      <c r="K30" s="8"/>
      <c r="L30" s="8"/>
      <c r="M30" s="8"/>
      <c r="N30" s="8"/>
      <c r="O30" s="3">
        <f t="shared" si="0"/>
        <v>40</v>
      </c>
      <c r="P30" s="3">
        <v>1</v>
      </c>
      <c r="V30" s="72">
        <v>1</v>
      </c>
      <c r="W30" s="72">
        <v>1</v>
      </c>
      <c r="X30" s="72">
        <v>40</v>
      </c>
      <c r="Y30" s="72"/>
      <c r="Z30" s="72"/>
      <c r="AA30" s="72"/>
      <c r="AB30" s="72"/>
      <c r="AC30" s="86"/>
      <c r="AD30" s="72">
        <f t="shared" si="1"/>
        <v>40</v>
      </c>
    </row>
    <row r="31" spans="1:30" ht="41.25" customHeight="1" thickBot="1" x14ac:dyDescent="0.45">
      <c r="A31" s="168" t="s">
        <v>140</v>
      </c>
      <c r="B31" s="168"/>
      <c r="C31" s="168"/>
      <c r="D31" s="168"/>
      <c r="E31" s="168"/>
      <c r="F31" s="168"/>
      <c r="G31" s="76">
        <f t="shared" ref="G31:AC31" si="2">SUM(G4:G30)</f>
        <v>56</v>
      </c>
      <c r="H31" s="76">
        <f t="shared" si="2"/>
        <v>25</v>
      </c>
      <c r="I31" s="76">
        <f t="shared" si="2"/>
        <v>400</v>
      </c>
      <c r="J31" s="76">
        <f t="shared" si="2"/>
        <v>320</v>
      </c>
      <c r="K31" s="76">
        <f t="shared" si="2"/>
        <v>720</v>
      </c>
      <c r="L31" s="76">
        <f t="shared" si="2"/>
        <v>400</v>
      </c>
      <c r="M31" s="76">
        <f t="shared" si="2"/>
        <v>1200</v>
      </c>
      <c r="N31" s="76">
        <f t="shared" si="2"/>
        <v>600</v>
      </c>
      <c r="O31" s="149">
        <f t="shared" si="2"/>
        <v>3640</v>
      </c>
      <c r="P31" s="149">
        <f t="shared" si="2"/>
        <v>26</v>
      </c>
      <c r="Q31" s="82">
        <f t="shared" si="2"/>
        <v>0</v>
      </c>
      <c r="R31" s="66">
        <f t="shared" si="2"/>
        <v>500</v>
      </c>
      <c r="S31" s="66">
        <f t="shared" si="2"/>
        <v>300</v>
      </c>
      <c r="T31" s="66">
        <f t="shared" si="2"/>
        <v>0</v>
      </c>
      <c r="U31" s="69">
        <f t="shared" si="2"/>
        <v>0</v>
      </c>
      <c r="V31" s="127">
        <f t="shared" si="2"/>
        <v>23</v>
      </c>
      <c r="W31" s="128">
        <f t="shared" si="2"/>
        <v>43</v>
      </c>
      <c r="X31" s="128">
        <f t="shared" si="2"/>
        <v>320</v>
      </c>
      <c r="Y31" s="128">
        <f t="shared" si="2"/>
        <v>320</v>
      </c>
      <c r="Z31" s="128">
        <f t="shared" si="2"/>
        <v>600</v>
      </c>
      <c r="AA31" s="128">
        <f t="shared" si="2"/>
        <v>400</v>
      </c>
      <c r="AB31" s="128">
        <f t="shared" si="2"/>
        <v>600</v>
      </c>
      <c r="AC31" s="129">
        <f t="shared" si="2"/>
        <v>600</v>
      </c>
      <c r="AD31" s="130">
        <f>SUM(X31:AB31)</f>
        <v>2240</v>
      </c>
    </row>
    <row r="33" spans="3:16" hidden="1" x14ac:dyDescent="0.25">
      <c r="H33" s="6" t="s">
        <v>59</v>
      </c>
      <c r="I33" s="6">
        <v>40</v>
      </c>
      <c r="J33" s="6">
        <v>80</v>
      </c>
      <c r="K33" s="6">
        <v>120</v>
      </c>
      <c r="L33" s="6">
        <v>200</v>
      </c>
      <c r="M33" s="6">
        <v>300</v>
      </c>
      <c r="N33" s="6">
        <v>600</v>
      </c>
      <c r="O33" s="79"/>
      <c r="P33" s="79"/>
    </row>
    <row r="34" spans="3:16" hidden="1" x14ac:dyDescent="0.25">
      <c r="H34" s="16" t="s">
        <v>60</v>
      </c>
      <c r="I34" s="16">
        <v>10</v>
      </c>
      <c r="J34" s="16">
        <v>4</v>
      </c>
      <c r="K34" s="16">
        <v>6</v>
      </c>
      <c r="L34" s="16">
        <v>3</v>
      </c>
      <c r="M34" s="16">
        <v>4</v>
      </c>
      <c r="N34" s="16">
        <v>1</v>
      </c>
      <c r="O34" s="80"/>
      <c r="P34" s="80"/>
    </row>
    <row r="35" spans="3:16" hidden="1" x14ac:dyDescent="0.25">
      <c r="H35" s="16" t="s">
        <v>61</v>
      </c>
      <c r="I35" s="16">
        <f t="shared" ref="I35:N35" si="3">I34*I3</f>
        <v>400</v>
      </c>
      <c r="J35" s="16">
        <f t="shared" si="3"/>
        <v>320</v>
      </c>
      <c r="K35" s="16">
        <f t="shared" si="3"/>
        <v>720</v>
      </c>
      <c r="L35" s="16">
        <f t="shared" si="3"/>
        <v>600</v>
      </c>
      <c r="M35" s="16">
        <f t="shared" si="3"/>
        <v>1200</v>
      </c>
      <c r="N35" s="16">
        <f t="shared" si="3"/>
        <v>600</v>
      </c>
      <c r="O35" s="80"/>
      <c r="P35" s="80"/>
    </row>
    <row r="36" spans="3:16" hidden="1" x14ac:dyDescent="0.25">
      <c r="H36" s="17" t="s">
        <v>62</v>
      </c>
      <c r="I36" s="171">
        <f>SUM(I35:N35)</f>
        <v>3840</v>
      </c>
      <c r="J36" s="172"/>
      <c r="K36" s="172"/>
      <c r="L36" s="172"/>
      <c r="M36" s="172"/>
      <c r="N36" s="173"/>
      <c r="O36" s="81"/>
      <c r="P36" s="81"/>
    </row>
    <row r="37" spans="3:16" ht="44.25" customHeight="1" x14ac:dyDescent="0.4">
      <c r="C37" s="105">
        <v>2</v>
      </c>
      <c r="D37" s="166" t="s">
        <v>153</v>
      </c>
      <c r="E37" s="166"/>
      <c r="F37" s="166"/>
    </row>
    <row r="38" spans="3:16" ht="21" customHeight="1" x14ac:dyDescent="0.25">
      <c r="D38" s="163" t="s">
        <v>145</v>
      </c>
      <c r="E38" s="163"/>
      <c r="F38" s="163"/>
    </row>
    <row r="39" spans="3:16" ht="21.75" customHeight="1" thickBot="1" x14ac:dyDescent="0.3">
      <c r="D39" s="164"/>
      <c r="E39" s="164"/>
      <c r="F39" s="164"/>
    </row>
    <row r="40" spans="3:16" ht="66" customHeight="1" x14ac:dyDescent="0.25">
      <c r="D40" s="91" t="s">
        <v>146</v>
      </c>
      <c r="E40" s="94">
        <f>COUNT(C4:C30)</f>
        <v>27</v>
      </c>
      <c r="F40" s="92">
        <v>1</v>
      </c>
    </row>
    <row r="41" spans="3:16" ht="66" customHeight="1" thickBot="1" x14ac:dyDescent="0.3">
      <c r="D41" s="100" t="s">
        <v>147</v>
      </c>
      <c r="E41" s="95">
        <f>G31</f>
        <v>56</v>
      </c>
      <c r="F41" s="93">
        <v>1</v>
      </c>
    </row>
    <row r="42" spans="3:16" ht="66" customHeight="1" x14ac:dyDescent="0.25">
      <c r="D42" s="101" t="s">
        <v>148</v>
      </c>
      <c r="E42" s="96">
        <f>V31</f>
        <v>23</v>
      </c>
      <c r="F42" s="106">
        <f>E42/E40</f>
        <v>0.85185185185185186</v>
      </c>
    </row>
    <row r="43" spans="3:16" ht="66" customHeight="1" thickBot="1" x14ac:dyDescent="0.3">
      <c r="D43" s="102" t="s">
        <v>149</v>
      </c>
      <c r="E43" s="97">
        <f>W31</f>
        <v>43</v>
      </c>
      <c r="F43" s="107">
        <f>E43/E41</f>
        <v>0.7678571428571429</v>
      </c>
    </row>
    <row r="44" spans="3:16" ht="66" customHeight="1" x14ac:dyDescent="0.25">
      <c r="D44" s="103" t="s">
        <v>150</v>
      </c>
      <c r="E44" s="98">
        <f>E40-E42</f>
        <v>4</v>
      </c>
      <c r="F44" s="108">
        <f>E44/E40</f>
        <v>0.14814814814814814</v>
      </c>
    </row>
    <row r="45" spans="3:16" ht="66" customHeight="1" thickBot="1" x14ac:dyDescent="0.3">
      <c r="D45" s="124" t="s">
        <v>151</v>
      </c>
      <c r="E45" s="125">
        <f>E41-E43</f>
        <v>13</v>
      </c>
      <c r="F45" s="126">
        <f>E45/E41</f>
        <v>0.23214285714285715</v>
      </c>
    </row>
    <row r="46" spans="3:16" ht="84" customHeight="1" x14ac:dyDescent="0.25">
      <c r="D46" s="70" t="s">
        <v>155</v>
      </c>
      <c r="E46" s="120">
        <f>O31</f>
        <v>3640</v>
      </c>
      <c r="F46" s="121">
        <v>1</v>
      </c>
    </row>
    <row r="47" spans="3:16" ht="84" customHeight="1" thickBot="1" x14ac:dyDescent="0.3">
      <c r="D47" s="153" t="s">
        <v>154</v>
      </c>
      <c r="E47" s="154">
        <f>AD31</f>
        <v>2240</v>
      </c>
      <c r="F47" s="155">
        <f>E47/E46</f>
        <v>0.61538461538461542</v>
      </c>
    </row>
    <row r="48" spans="3:16" ht="84" customHeight="1" x14ac:dyDescent="0.25">
      <c r="D48" s="136" t="s">
        <v>158</v>
      </c>
      <c r="E48" s="137">
        <f>P31</f>
        <v>26</v>
      </c>
      <c r="F48" s="138">
        <v>1</v>
      </c>
    </row>
    <row r="49" spans="4:6" ht="84" customHeight="1" x14ac:dyDescent="0.25">
      <c r="D49" s="156" t="s">
        <v>157</v>
      </c>
      <c r="E49" s="157">
        <f>V31</f>
        <v>23</v>
      </c>
      <c r="F49" s="158">
        <f>E49/E48</f>
        <v>0.88461538461538458</v>
      </c>
    </row>
    <row r="50" spans="4:6" ht="84" customHeight="1" thickBot="1" x14ac:dyDescent="0.3">
      <c r="D50" s="145" t="s">
        <v>159</v>
      </c>
      <c r="E50" s="146">
        <v>1</v>
      </c>
      <c r="F50" s="147">
        <v>1</v>
      </c>
    </row>
  </sheetData>
  <autoFilter ref="A2:AD2" xr:uid="{3EEF7579-6E18-4F90-880C-7E7220C6DAD3}"/>
  <mergeCells count="24">
    <mergeCell ref="H2:H3"/>
    <mergeCell ref="A4:A8"/>
    <mergeCell ref="D2:D3"/>
    <mergeCell ref="E2:E3"/>
    <mergeCell ref="A1:C1"/>
    <mergeCell ref="A2:A3"/>
    <mergeCell ref="B2:B3"/>
    <mergeCell ref="C2:C3"/>
    <mergeCell ref="AD2:AD3"/>
    <mergeCell ref="V2:V3"/>
    <mergeCell ref="D38:F39"/>
    <mergeCell ref="V1:AD1"/>
    <mergeCell ref="D37:F37"/>
    <mergeCell ref="P2:P3"/>
    <mergeCell ref="W2:W3"/>
    <mergeCell ref="A31:F31"/>
    <mergeCell ref="O2:O3"/>
    <mergeCell ref="A25:A30"/>
    <mergeCell ref="I36:N36"/>
    <mergeCell ref="A9:A11"/>
    <mergeCell ref="A12:A15"/>
    <mergeCell ref="A16:A24"/>
    <mergeCell ref="F2:F3"/>
    <mergeCell ref="G2:G3"/>
  </mergeCells>
  <conditionalFormatting sqref="F40:F50">
    <cfRule type="duplicateValues" dxfId="2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9D31-6329-4289-B1F6-738A541EC623}">
  <dimension ref="A1:AG111"/>
  <sheetViews>
    <sheetView zoomScale="70" zoomScaleNormal="70" workbookViewId="0">
      <pane xSplit="3" ySplit="3" topLeftCell="D56" activePane="bottomRight" state="frozen"/>
      <selection pane="topRight" activeCell="D1" sqref="D1"/>
      <selection pane="bottomLeft" activeCell="A4" sqref="A4"/>
      <selection pane="bottomRight" activeCell="C101" sqref="C101"/>
    </sheetView>
  </sheetViews>
  <sheetFormatPr defaultColWidth="8.75" defaultRowHeight="18" x14ac:dyDescent="0.25"/>
  <cols>
    <col min="1" max="1" width="9.5" style="18" bestFit="1" customWidth="1"/>
    <col min="2" max="2" width="8.125" style="18" customWidth="1"/>
    <col min="3" max="3" width="11.625" style="18" bestFit="1" customWidth="1"/>
    <col min="4" max="4" width="44.25" style="18" bestFit="1" customWidth="1"/>
    <col min="5" max="5" width="14.5" style="19" bestFit="1" customWidth="1"/>
    <col min="6" max="6" width="22.5" style="19" customWidth="1"/>
    <col min="7" max="7" width="15.125" style="19" bestFit="1" customWidth="1"/>
    <col min="8" max="9" width="14.75" style="19" bestFit="1" customWidth="1"/>
    <col min="10" max="10" width="16" style="19" bestFit="1" customWidth="1"/>
    <col min="11" max="11" width="14.75" style="19" bestFit="1" customWidth="1"/>
    <col min="12" max="12" width="16" style="19" bestFit="1" customWidth="1"/>
    <col min="13" max="13" width="16.25" style="19" hidden="1" customWidth="1"/>
    <col min="14" max="14" width="15.875" style="20" hidden="1" customWidth="1"/>
    <col min="15" max="15" width="10.125" style="18" hidden="1" customWidth="1"/>
    <col min="16" max="16" width="15" style="18" hidden="1" customWidth="1"/>
    <col min="17" max="17" width="13.375" style="18" hidden="1" customWidth="1"/>
    <col min="18" max="18" width="24.5" style="18" bestFit="1" customWidth="1"/>
    <col min="19" max="19" width="17.5" style="18" customWidth="1"/>
    <col min="20" max="24" width="0" style="18" hidden="1" customWidth="1"/>
    <col min="25" max="25" width="29.125" style="18" bestFit="1" customWidth="1"/>
    <col min="26" max="26" width="31.125" style="18" bestFit="1" customWidth="1"/>
    <col min="27" max="27" width="29.25" style="18" bestFit="1" customWidth="1"/>
    <col min="28" max="32" width="7.125" style="18" customWidth="1"/>
    <col min="33" max="33" width="34.375" style="18" bestFit="1" customWidth="1"/>
    <col min="34" max="16384" width="8.75" style="18"/>
  </cols>
  <sheetData>
    <row r="1" spans="1:33" ht="36" customHeight="1" thickBot="1" x14ac:dyDescent="0.45">
      <c r="A1" s="186" t="s">
        <v>63</v>
      </c>
      <c r="B1" s="186"/>
      <c r="C1" s="186"/>
      <c r="R1" s="148"/>
      <c r="S1" s="105">
        <v>1</v>
      </c>
      <c r="T1" s="1"/>
      <c r="U1" s="1"/>
      <c r="V1" s="1"/>
      <c r="W1" s="1"/>
      <c r="X1" s="1"/>
      <c r="Y1" s="179" t="s">
        <v>144</v>
      </c>
      <c r="Z1" s="179"/>
      <c r="AA1" s="179"/>
      <c r="AB1" s="179"/>
      <c r="AC1" s="179"/>
      <c r="AD1" s="179"/>
      <c r="AE1" s="179"/>
      <c r="AF1" s="179"/>
      <c r="AG1" s="179"/>
    </row>
    <row r="2" spans="1:33" ht="19.5" x14ac:dyDescent="0.25">
      <c r="A2" s="183" t="s">
        <v>1</v>
      </c>
      <c r="B2" s="183" t="s">
        <v>2</v>
      </c>
      <c r="C2" s="183" t="s">
        <v>3</v>
      </c>
      <c r="D2" s="187" t="s">
        <v>64</v>
      </c>
      <c r="E2" s="183" t="s">
        <v>5</v>
      </c>
      <c r="F2" s="183" t="s">
        <v>65</v>
      </c>
      <c r="G2" s="183" t="s">
        <v>9</v>
      </c>
      <c r="H2" s="183"/>
      <c r="I2" s="183"/>
      <c r="J2" s="183"/>
      <c r="K2" s="183"/>
      <c r="L2" s="183"/>
      <c r="M2" s="22"/>
      <c r="N2" s="150"/>
      <c r="O2" s="24"/>
      <c r="P2" s="24"/>
      <c r="Q2" s="24"/>
      <c r="R2" s="169" t="s">
        <v>142</v>
      </c>
      <c r="S2" s="167" t="s">
        <v>156</v>
      </c>
      <c r="T2" s="131"/>
      <c r="U2" s="110"/>
      <c r="V2" s="110"/>
      <c r="W2" s="110"/>
      <c r="X2" s="110"/>
      <c r="Y2" s="161" t="s">
        <v>152</v>
      </c>
      <c r="Z2" s="161" t="s">
        <v>141</v>
      </c>
      <c r="AA2" s="111" t="s">
        <v>9</v>
      </c>
      <c r="AB2" s="111"/>
      <c r="AC2" s="111"/>
      <c r="AD2" s="111"/>
      <c r="AE2" s="111"/>
      <c r="AF2" s="111"/>
      <c r="AG2" s="159" t="s">
        <v>143</v>
      </c>
    </row>
    <row r="3" spans="1:33" ht="20.25" thickBot="1" x14ac:dyDescent="0.3">
      <c r="A3" s="183"/>
      <c r="B3" s="183"/>
      <c r="C3" s="183"/>
      <c r="D3" s="187"/>
      <c r="E3" s="183"/>
      <c r="F3" s="183"/>
      <c r="G3" s="21">
        <v>40</v>
      </c>
      <c r="H3" s="21">
        <v>80</v>
      </c>
      <c r="I3" s="21">
        <v>120</v>
      </c>
      <c r="J3" s="21">
        <v>200</v>
      </c>
      <c r="K3" s="21">
        <v>300</v>
      </c>
      <c r="L3" s="21">
        <v>600</v>
      </c>
      <c r="M3" s="22"/>
      <c r="N3" s="150"/>
      <c r="O3" s="24"/>
      <c r="P3" s="24"/>
      <c r="Q3" s="24"/>
      <c r="R3" s="169"/>
      <c r="S3" s="167"/>
      <c r="T3" s="132"/>
      <c r="U3" s="114"/>
      <c r="V3" s="114"/>
      <c r="W3" s="114"/>
      <c r="X3" s="114"/>
      <c r="Y3" s="162"/>
      <c r="Z3" s="162"/>
      <c r="AA3" s="75">
        <v>40</v>
      </c>
      <c r="AB3" s="75">
        <v>80</v>
      </c>
      <c r="AC3" s="75">
        <v>120</v>
      </c>
      <c r="AD3" s="75">
        <v>200</v>
      </c>
      <c r="AE3" s="75">
        <v>300</v>
      </c>
      <c r="AF3" s="75">
        <v>600</v>
      </c>
      <c r="AG3" s="180"/>
    </row>
    <row r="4" spans="1:33" x14ac:dyDescent="0.25">
      <c r="A4" s="184" t="s">
        <v>10</v>
      </c>
      <c r="B4" s="22">
        <v>1</v>
      </c>
      <c r="C4" s="23">
        <v>1</v>
      </c>
      <c r="D4" s="24" t="s">
        <v>66</v>
      </c>
      <c r="E4" s="22" t="s">
        <v>12</v>
      </c>
      <c r="F4" s="22">
        <v>2</v>
      </c>
      <c r="G4" s="22"/>
      <c r="H4" s="22"/>
      <c r="I4" s="22"/>
      <c r="J4" s="22">
        <v>200</v>
      </c>
      <c r="K4" s="22"/>
      <c r="L4" s="22"/>
      <c r="M4" s="22"/>
      <c r="N4" s="150"/>
      <c r="O4" s="24"/>
      <c r="P4" s="24"/>
      <c r="Q4" s="24"/>
      <c r="R4" s="24">
        <f t="shared" ref="R4:R35" si="0">SUM(G4:L4)</f>
        <v>200</v>
      </c>
      <c r="S4" s="24">
        <v>1</v>
      </c>
      <c r="T4" s="13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</row>
    <row r="5" spans="1:33" x14ac:dyDescent="0.25">
      <c r="A5" s="184"/>
      <c r="B5" s="22">
        <v>2</v>
      </c>
      <c r="C5" s="23">
        <v>2</v>
      </c>
      <c r="D5" s="25" t="s">
        <v>67</v>
      </c>
      <c r="E5" s="22" t="s">
        <v>12</v>
      </c>
      <c r="F5" s="22">
        <v>2</v>
      </c>
      <c r="G5" s="22"/>
      <c r="H5" s="22"/>
      <c r="I5" s="22">
        <v>120</v>
      </c>
      <c r="J5" s="22"/>
      <c r="K5" s="22"/>
      <c r="L5" s="22">
        <v>600</v>
      </c>
      <c r="M5" s="22"/>
      <c r="N5" s="150"/>
      <c r="O5" s="24"/>
      <c r="P5" s="24"/>
      <c r="Q5" s="24"/>
      <c r="R5" s="24">
        <f t="shared" si="0"/>
        <v>720</v>
      </c>
      <c r="S5" s="24">
        <v>1</v>
      </c>
      <c r="T5" s="134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</row>
    <row r="6" spans="1:33" x14ac:dyDescent="0.25">
      <c r="A6" s="184"/>
      <c r="B6" s="22">
        <v>3</v>
      </c>
      <c r="C6" s="23">
        <v>3</v>
      </c>
      <c r="D6" s="25" t="s">
        <v>68</v>
      </c>
      <c r="E6" s="22" t="s">
        <v>12</v>
      </c>
      <c r="F6" s="22">
        <v>2</v>
      </c>
      <c r="G6" s="22"/>
      <c r="H6" s="22"/>
      <c r="I6" s="22">
        <v>120</v>
      </c>
      <c r="J6" s="22"/>
      <c r="K6" s="22"/>
      <c r="L6" s="22"/>
      <c r="M6" s="22"/>
      <c r="N6" s="150"/>
      <c r="O6" s="24"/>
      <c r="P6" s="24"/>
      <c r="Q6" s="24"/>
      <c r="R6" s="24">
        <f t="shared" si="0"/>
        <v>120</v>
      </c>
      <c r="S6" s="24">
        <v>1</v>
      </c>
      <c r="T6" s="134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</row>
    <row r="7" spans="1:33" x14ac:dyDescent="0.25">
      <c r="A7" s="184"/>
      <c r="B7" s="22">
        <v>4</v>
      </c>
      <c r="C7" s="23">
        <v>4</v>
      </c>
      <c r="D7" s="24" t="s">
        <v>69</v>
      </c>
      <c r="E7" s="22" t="s">
        <v>12</v>
      </c>
      <c r="F7" s="22">
        <v>2</v>
      </c>
      <c r="G7" s="22">
        <v>40</v>
      </c>
      <c r="H7" s="22" t="s">
        <v>14</v>
      </c>
      <c r="I7" s="22"/>
      <c r="J7" s="22"/>
      <c r="K7" s="22"/>
      <c r="L7" s="22"/>
      <c r="M7" s="22"/>
      <c r="N7" s="150"/>
      <c r="O7" s="24"/>
      <c r="P7" s="24"/>
      <c r="Q7" s="24"/>
      <c r="R7" s="24">
        <f t="shared" si="0"/>
        <v>40</v>
      </c>
      <c r="S7" s="24">
        <v>1</v>
      </c>
      <c r="T7" s="134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</row>
    <row r="8" spans="1:33" x14ac:dyDescent="0.25">
      <c r="A8" s="184"/>
      <c r="B8" s="22">
        <v>5</v>
      </c>
      <c r="C8" s="23">
        <v>5</v>
      </c>
      <c r="D8" s="24" t="s">
        <v>70</v>
      </c>
      <c r="E8" s="22" t="s">
        <v>12</v>
      </c>
      <c r="F8" s="22">
        <v>2</v>
      </c>
      <c r="G8" s="22"/>
      <c r="H8" s="22">
        <v>80</v>
      </c>
      <c r="I8" s="22"/>
      <c r="J8" s="22"/>
      <c r="K8" s="22"/>
      <c r="L8" s="22"/>
      <c r="M8" s="22"/>
      <c r="N8" s="150"/>
      <c r="O8" s="24"/>
      <c r="P8" s="24"/>
      <c r="Q8" s="24"/>
      <c r="R8" s="24">
        <f t="shared" si="0"/>
        <v>80</v>
      </c>
      <c r="S8" s="24">
        <v>1</v>
      </c>
      <c r="T8" s="134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</row>
    <row r="9" spans="1:33" x14ac:dyDescent="0.25">
      <c r="A9" s="184"/>
      <c r="B9" s="22">
        <v>6</v>
      </c>
      <c r="C9" s="23">
        <v>6</v>
      </c>
      <c r="D9" s="24" t="s">
        <v>71</v>
      </c>
      <c r="E9" s="22" t="s">
        <v>12</v>
      </c>
      <c r="F9" s="22">
        <v>2</v>
      </c>
      <c r="G9" s="22" t="s">
        <v>14</v>
      </c>
      <c r="H9" s="22">
        <v>80</v>
      </c>
      <c r="I9" s="22"/>
      <c r="J9" s="22"/>
      <c r="K9" s="22"/>
      <c r="L9" s="22"/>
      <c r="M9" s="22"/>
      <c r="N9" s="150"/>
      <c r="O9" s="24"/>
      <c r="P9" s="24"/>
      <c r="Q9" s="24"/>
      <c r="R9" s="24">
        <f t="shared" si="0"/>
        <v>80</v>
      </c>
      <c r="S9" s="24">
        <v>1</v>
      </c>
      <c r="T9" s="134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</row>
    <row r="10" spans="1:33" x14ac:dyDescent="0.25">
      <c r="A10" s="184"/>
      <c r="B10" s="22">
        <v>7</v>
      </c>
      <c r="C10" s="23">
        <v>7</v>
      </c>
      <c r="D10" s="25" t="s">
        <v>72</v>
      </c>
      <c r="E10" s="22" t="s">
        <v>43</v>
      </c>
      <c r="F10" s="22">
        <v>1</v>
      </c>
      <c r="G10" s="22">
        <v>40</v>
      </c>
      <c r="H10" s="22"/>
      <c r="I10" s="22"/>
      <c r="J10" s="22"/>
      <c r="K10" s="22"/>
      <c r="L10" s="22"/>
      <c r="M10" s="22"/>
      <c r="N10" s="150"/>
      <c r="O10" s="24"/>
      <c r="P10" s="24"/>
      <c r="Q10" s="24"/>
      <c r="R10" s="24">
        <f t="shared" si="0"/>
        <v>40</v>
      </c>
      <c r="S10" s="24">
        <v>1</v>
      </c>
      <c r="T10" s="134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</row>
    <row r="11" spans="1:33" x14ac:dyDescent="0.25">
      <c r="A11" s="184"/>
      <c r="B11" s="22">
        <v>8</v>
      </c>
      <c r="C11" s="23">
        <v>8</v>
      </c>
      <c r="D11" s="24" t="s">
        <v>73</v>
      </c>
      <c r="E11" s="22" t="s">
        <v>43</v>
      </c>
      <c r="F11" s="22">
        <v>1</v>
      </c>
      <c r="G11" s="22" t="s">
        <v>14</v>
      </c>
      <c r="H11" s="22">
        <v>80</v>
      </c>
      <c r="I11" s="22"/>
      <c r="J11" s="22"/>
      <c r="K11" s="22"/>
      <c r="L11" s="22"/>
      <c r="M11" s="22"/>
      <c r="N11" s="150"/>
      <c r="O11" s="24"/>
      <c r="P11" s="24"/>
      <c r="Q11" s="24"/>
      <c r="R11" s="24">
        <f t="shared" si="0"/>
        <v>80</v>
      </c>
      <c r="S11" s="24">
        <v>1</v>
      </c>
      <c r="T11" s="134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</row>
    <row r="12" spans="1:33" x14ac:dyDescent="0.25">
      <c r="A12" s="184"/>
      <c r="B12" s="22">
        <v>9</v>
      </c>
      <c r="C12" s="23">
        <v>9</v>
      </c>
      <c r="D12" s="24" t="s">
        <v>74</v>
      </c>
      <c r="E12" s="22" t="s">
        <v>43</v>
      </c>
      <c r="F12" s="22">
        <v>1</v>
      </c>
      <c r="G12" s="22">
        <v>40</v>
      </c>
      <c r="H12" s="22"/>
      <c r="I12" s="22"/>
      <c r="J12" s="22"/>
      <c r="K12" s="22"/>
      <c r="L12" s="22"/>
      <c r="M12" s="22"/>
      <c r="N12" s="150"/>
      <c r="O12" s="24"/>
      <c r="P12" s="24"/>
      <c r="Q12" s="24"/>
      <c r="R12" s="24">
        <f t="shared" si="0"/>
        <v>40</v>
      </c>
      <c r="S12" s="24">
        <v>1</v>
      </c>
      <c r="T12" s="134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</row>
    <row r="13" spans="1:33" x14ac:dyDescent="0.25">
      <c r="A13" s="184"/>
      <c r="B13" s="22">
        <v>10</v>
      </c>
      <c r="C13" s="23">
        <v>10</v>
      </c>
      <c r="D13" s="25" t="s">
        <v>75</v>
      </c>
      <c r="E13" s="22" t="s">
        <v>12</v>
      </c>
      <c r="F13" s="26">
        <v>2</v>
      </c>
      <c r="G13" s="26"/>
      <c r="H13" s="26"/>
      <c r="I13" s="26" t="s">
        <v>14</v>
      </c>
      <c r="J13" s="26"/>
      <c r="K13" s="26"/>
      <c r="L13" s="26"/>
      <c r="M13" s="22">
        <v>120</v>
      </c>
      <c r="N13" s="150"/>
      <c r="O13" s="24"/>
      <c r="P13" s="24"/>
      <c r="Q13" s="24"/>
      <c r="R13" s="25">
        <f t="shared" si="0"/>
        <v>0</v>
      </c>
      <c r="S13" s="24"/>
      <c r="T13" s="134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</row>
    <row r="14" spans="1:33" x14ac:dyDescent="0.25">
      <c r="A14" s="184"/>
      <c r="B14" s="22">
        <v>11</v>
      </c>
      <c r="C14" s="23">
        <v>11</v>
      </c>
      <c r="D14" s="24" t="s">
        <v>76</v>
      </c>
      <c r="E14" s="22" t="s">
        <v>12</v>
      </c>
      <c r="F14" s="22">
        <v>2</v>
      </c>
      <c r="G14" s="22"/>
      <c r="H14" s="22">
        <v>80</v>
      </c>
      <c r="I14" s="22"/>
      <c r="J14" s="22"/>
      <c r="K14" s="22"/>
      <c r="L14" s="22"/>
      <c r="M14" s="22"/>
      <c r="N14" s="150"/>
      <c r="O14" s="24"/>
      <c r="P14" s="24"/>
      <c r="Q14" s="24"/>
      <c r="R14" s="24">
        <f t="shared" si="0"/>
        <v>80</v>
      </c>
      <c r="S14" s="24">
        <v>1</v>
      </c>
      <c r="T14" s="134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</row>
    <row r="15" spans="1:33" x14ac:dyDescent="0.25">
      <c r="A15" s="184"/>
      <c r="B15" s="22">
        <v>12</v>
      </c>
      <c r="C15" s="23">
        <v>12</v>
      </c>
      <c r="D15" s="24" t="s">
        <v>77</v>
      </c>
      <c r="E15" s="22" t="s">
        <v>43</v>
      </c>
      <c r="F15" s="22">
        <v>2</v>
      </c>
      <c r="G15" s="22">
        <v>40</v>
      </c>
      <c r="H15" s="22"/>
      <c r="I15" s="22"/>
      <c r="J15" s="22"/>
      <c r="K15" s="22"/>
      <c r="L15" s="22"/>
      <c r="M15" s="22"/>
      <c r="N15" s="150"/>
      <c r="O15" s="24"/>
      <c r="P15" s="24"/>
      <c r="Q15" s="24"/>
      <c r="R15" s="24">
        <f t="shared" si="0"/>
        <v>40</v>
      </c>
      <c r="S15" s="24">
        <v>1</v>
      </c>
      <c r="T15" s="134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</row>
    <row r="16" spans="1:33" x14ac:dyDescent="0.25">
      <c r="A16" s="185" t="s">
        <v>78</v>
      </c>
      <c r="B16" s="27">
        <v>1</v>
      </c>
      <c r="C16" s="27">
        <v>13</v>
      </c>
      <c r="D16" s="28" t="s">
        <v>79</v>
      </c>
      <c r="E16" s="29" t="s">
        <v>22</v>
      </c>
      <c r="F16" s="27">
        <v>2</v>
      </c>
      <c r="G16" s="27"/>
      <c r="H16" s="27">
        <v>80</v>
      </c>
      <c r="I16" s="27"/>
      <c r="J16" s="27"/>
      <c r="K16" s="27"/>
      <c r="L16" s="27"/>
      <c r="M16" s="22"/>
      <c r="N16" s="150"/>
      <c r="O16" s="24"/>
      <c r="P16" s="24"/>
      <c r="Q16" s="24"/>
      <c r="R16" s="24">
        <f t="shared" si="0"/>
        <v>80</v>
      </c>
      <c r="S16" s="24">
        <v>1</v>
      </c>
      <c r="T16" s="134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</row>
    <row r="17" spans="1:33" x14ac:dyDescent="0.25">
      <c r="A17" s="185"/>
      <c r="B17" s="27">
        <v>2</v>
      </c>
      <c r="C17" s="27">
        <v>14</v>
      </c>
      <c r="D17" s="28" t="s">
        <v>80</v>
      </c>
      <c r="E17" s="29" t="s">
        <v>22</v>
      </c>
      <c r="F17" s="27">
        <v>2</v>
      </c>
      <c r="G17" s="27"/>
      <c r="H17" s="27">
        <v>80</v>
      </c>
      <c r="I17" s="27"/>
      <c r="J17" s="27"/>
      <c r="K17" s="27"/>
      <c r="L17" s="27"/>
      <c r="M17" s="22"/>
      <c r="N17" s="150"/>
      <c r="O17" s="24"/>
      <c r="P17" s="24"/>
      <c r="Q17" s="24"/>
      <c r="R17" s="24">
        <f t="shared" si="0"/>
        <v>80</v>
      </c>
      <c r="S17" s="24">
        <v>1</v>
      </c>
      <c r="T17" s="134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</row>
    <row r="18" spans="1:33" x14ac:dyDescent="0.25">
      <c r="A18" s="185"/>
      <c r="B18" s="27">
        <v>3</v>
      </c>
      <c r="C18" s="27">
        <v>15</v>
      </c>
      <c r="D18" s="28" t="s">
        <v>81</v>
      </c>
      <c r="E18" s="29" t="s">
        <v>22</v>
      </c>
      <c r="F18" s="27">
        <v>2</v>
      </c>
      <c r="G18" s="27">
        <v>40</v>
      </c>
      <c r="H18" s="27"/>
      <c r="I18" s="27"/>
      <c r="J18" s="27"/>
      <c r="K18" s="27"/>
      <c r="L18" s="27"/>
      <c r="M18" s="22"/>
      <c r="N18" s="150"/>
      <c r="O18" s="24"/>
      <c r="P18" s="24"/>
      <c r="Q18" s="24"/>
      <c r="R18" s="24">
        <f t="shared" si="0"/>
        <v>40</v>
      </c>
      <c r="S18" s="24">
        <v>1</v>
      </c>
      <c r="T18" s="134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</row>
    <row r="19" spans="1:33" x14ac:dyDescent="0.25">
      <c r="A19" s="185"/>
      <c r="B19" s="27">
        <v>4</v>
      </c>
      <c r="C19" s="27">
        <v>16</v>
      </c>
      <c r="D19" s="30" t="s">
        <v>82</v>
      </c>
      <c r="E19" s="29" t="s">
        <v>83</v>
      </c>
      <c r="F19" s="27">
        <v>2</v>
      </c>
      <c r="G19" s="27" t="s">
        <v>14</v>
      </c>
      <c r="H19" s="27">
        <v>80</v>
      </c>
      <c r="I19" s="27"/>
      <c r="J19" s="27"/>
      <c r="K19" s="27"/>
      <c r="L19" s="27"/>
      <c r="M19" s="151" t="s">
        <v>84</v>
      </c>
      <c r="N19" s="150"/>
      <c r="O19" s="24"/>
      <c r="P19" s="24"/>
      <c r="Q19" s="24"/>
      <c r="R19" s="24">
        <f t="shared" si="0"/>
        <v>80</v>
      </c>
      <c r="S19" s="24">
        <v>1</v>
      </c>
      <c r="T19" s="134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</row>
    <row r="20" spans="1:33" x14ac:dyDescent="0.25">
      <c r="A20" s="185"/>
      <c r="B20" s="27">
        <v>5</v>
      </c>
      <c r="C20" s="27">
        <v>17</v>
      </c>
      <c r="D20" s="30" t="s">
        <v>85</v>
      </c>
      <c r="E20" s="29" t="s">
        <v>83</v>
      </c>
      <c r="F20" s="27">
        <v>2</v>
      </c>
      <c r="G20" s="27">
        <v>40</v>
      </c>
      <c r="H20" s="27"/>
      <c r="I20" s="27"/>
      <c r="J20" s="27"/>
      <c r="K20" s="27"/>
      <c r="L20" s="27"/>
      <c r="M20" s="151">
        <v>200</v>
      </c>
      <c r="N20" s="150"/>
      <c r="O20" s="24"/>
      <c r="P20" s="24"/>
      <c r="Q20" s="24"/>
      <c r="R20" s="24">
        <f t="shared" si="0"/>
        <v>40</v>
      </c>
      <c r="S20" s="24">
        <v>1</v>
      </c>
      <c r="T20" s="134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</row>
    <row r="21" spans="1:33" x14ac:dyDescent="0.25">
      <c r="A21" s="185"/>
      <c r="B21" s="27">
        <v>6</v>
      </c>
      <c r="C21" s="24">
        <v>18</v>
      </c>
      <c r="D21" s="25" t="s">
        <v>86</v>
      </c>
      <c r="E21" s="24" t="s">
        <v>12</v>
      </c>
      <c r="F21" s="26">
        <v>2</v>
      </c>
      <c r="G21" s="25"/>
      <c r="H21" s="25"/>
      <c r="I21" s="25"/>
      <c r="J21" s="25"/>
      <c r="K21" s="25"/>
      <c r="L21" s="25"/>
      <c r="M21" s="151">
        <v>300</v>
      </c>
      <c r="N21" s="150"/>
      <c r="O21" s="24"/>
      <c r="P21" s="24"/>
      <c r="Q21" s="24"/>
      <c r="R21" s="25">
        <f t="shared" si="0"/>
        <v>0</v>
      </c>
      <c r="S21" s="24"/>
      <c r="T21" s="134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</row>
    <row r="22" spans="1:33" x14ac:dyDescent="0.25">
      <c r="A22" s="184" t="s">
        <v>25</v>
      </c>
      <c r="B22" s="22">
        <v>1</v>
      </c>
      <c r="C22" s="32">
        <v>18</v>
      </c>
      <c r="D22" s="33" t="s">
        <v>87</v>
      </c>
      <c r="E22" s="22" t="s">
        <v>27</v>
      </c>
      <c r="F22" s="22">
        <v>2</v>
      </c>
      <c r="G22" s="22"/>
      <c r="H22" s="22">
        <v>80</v>
      </c>
      <c r="I22" s="22"/>
      <c r="J22" s="22"/>
      <c r="K22" s="22"/>
      <c r="L22" s="22"/>
      <c r="M22" s="22"/>
      <c r="N22" s="150"/>
      <c r="O22" s="24"/>
      <c r="P22" s="24"/>
      <c r="Q22" s="24"/>
      <c r="R22" s="24">
        <f t="shared" si="0"/>
        <v>80</v>
      </c>
      <c r="S22" s="24">
        <v>1</v>
      </c>
      <c r="T22" s="134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</row>
    <row r="23" spans="1:33" x14ac:dyDescent="0.25">
      <c r="A23" s="184"/>
      <c r="B23" s="22">
        <v>2</v>
      </c>
      <c r="C23" s="32">
        <v>19</v>
      </c>
      <c r="D23" s="33" t="s">
        <v>88</v>
      </c>
      <c r="E23" s="22" t="s">
        <v>27</v>
      </c>
      <c r="F23" s="22">
        <v>2</v>
      </c>
      <c r="G23" s="22"/>
      <c r="H23" s="22"/>
      <c r="I23" s="22"/>
      <c r="J23" s="22"/>
      <c r="K23" s="22">
        <v>300</v>
      </c>
      <c r="L23" s="22"/>
      <c r="M23" s="22"/>
      <c r="N23" s="150"/>
      <c r="O23" s="24"/>
      <c r="P23" s="24"/>
      <c r="Q23" s="24"/>
      <c r="R23" s="24">
        <f t="shared" si="0"/>
        <v>300</v>
      </c>
      <c r="S23" s="24">
        <v>1</v>
      </c>
      <c r="T23" s="134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</row>
    <row r="24" spans="1:33" x14ac:dyDescent="0.25">
      <c r="A24" s="184"/>
      <c r="B24" s="22">
        <v>3</v>
      </c>
      <c r="C24" s="32">
        <v>20</v>
      </c>
      <c r="D24" s="34" t="s">
        <v>89</v>
      </c>
      <c r="E24" s="22" t="s">
        <v>27</v>
      </c>
      <c r="F24" s="22">
        <v>2</v>
      </c>
      <c r="G24" s="22"/>
      <c r="H24" s="22">
        <v>80</v>
      </c>
      <c r="I24" s="22"/>
      <c r="J24" s="22"/>
      <c r="K24" s="22"/>
      <c r="L24" s="22"/>
      <c r="M24" s="22"/>
      <c r="N24" s="150"/>
      <c r="O24" s="24"/>
      <c r="P24" s="24"/>
      <c r="Q24" s="24"/>
      <c r="R24" s="24">
        <f t="shared" si="0"/>
        <v>80</v>
      </c>
      <c r="S24" s="24">
        <v>1</v>
      </c>
      <c r="T24" s="134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</row>
    <row r="25" spans="1:33" x14ac:dyDescent="0.25">
      <c r="A25" s="184"/>
      <c r="B25" s="22">
        <v>4</v>
      </c>
      <c r="C25" s="32">
        <v>21</v>
      </c>
      <c r="D25" s="34" t="s">
        <v>90</v>
      </c>
      <c r="E25" s="22" t="s">
        <v>27</v>
      </c>
      <c r="F25" s="22">
        <v>2</v>
      </c>
      <c r="G25" s="22">
        <v>40</v>
      </c>
      <c r="H25" s="22"/>
      <c r="I25" s="22"/>
      <c r="J25" s="22"/>
      <c r="K25" s="22"/>
      <c r="L25" s="22"/>
      <c r="M25" s="22"/>
      <c r="N25" s="150"/>
      <c r="O25" s="24"/>
      <c r="P25" s="24"/>
      <c r="Q25" s="24"/>
      <c r="R25" s="24">
        <f t="shared" si="0"/>
        <v>40</v>
      </c>
      <c r="S25" s="24">
        <v>1</v>
      </c>
      <c r="T25" s="134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</row>
    <row r="26" spans="1:33" x14ac:dyDescent="0.25">
      <c r="A26" s="184"/>
      <c r="B26" s="22">
        <v>5</v>
      </c>
      <c r="C26" s="32">
        <v>22</v>
      </c>
      <c r="D26" s="35" t="s">
        <v>91</v>
      </c>
      <c r="E26" s="22" t="s">
        <v>27</v>
      </c>
      <c r="F26" s="22">
        <v>2</v>
      </c>
      <c r="G26" s="22"/>
      <c r="H26" s="22">
        <v>80</v>
      </c>
      <c r="I26" s="22"/>
      <c r="J26" s="22"/>
      <c r="K26" s="22"/>
      <c r="L26" s="22"/>
      <c r="M26" s="22"/>
      <c r="N26" s="150"/>
      <c r="O26" s="24"/>
      <c r="P26" s="24"/>
      <c r="Q26" s="24"/>
      <c r="R26" s="24">
        <f t="shared" si="0"/>
        <v>80</v>
      </c>
      <c r="S26" s="24">
        <v>1</v>
      </c>
      <c r="T26" s="134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</row>
    <row r="27" spans="1:33" x14ac:dyDescent="0.25">
      <c r="A27" s="184"/>
      <c r="B27" s="22">
        <v>6</v>
      </c>
      <c r="C27" s="32">
        <v>23</v>
      </c>
      <c r="D27" s="34" t="s">
        <v>92</v>
      </c>
      <c r="E27" s="22" t="s">
        <v>53</v>
      </c>
      <c r="F27" s="22">
        <v>2</v>
      </c>
      <c r="G27" s="22">
        <v>40</v>
      </c>
      <c r="H27" s="22"/>
      <c r="I27" s="22"/>
      <c r="J27" s="22"/>
      <c r="K27" s="22"/>
      <c r="L27" s="22"/>
      <c r="M27" s="22"/>
      <c r="N27" s="150"/>
      <c r="O27" s="24"/>
      <c r="P27" s="24"/>
      <c r="Q27" s="24"/>
      <c r="R27" s="24">
        <f t="shared" si="0"/>
        <v>40</v>
      </c>
      <c r="S27" s="24">
        <v>1</v>
      </c>
      <c r="T27" s="134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</row>
    <row r="28" spans="1:33" x14ac:dyDescent="0.25">
      <c r="A28" s="184"/>
      <c r="B28" s="22">
        <v>7</v>
      </c>
      <c r="C28" s="36">
        <v>24</v>
      </c>
      <c r="D28" s="37" t="s">
        <v>93</v>
      </c>
      <c r="E28" s="22" t="s">
        <v>27</v>
      </c>
      <c r="F28" s="22">
        <v>2</v>
      </c>
      <c r="G28" s="22">
        <v>40</v>
      </c>
      <c r="H28" s="22"/>
      <c r="I28" s="22"/>
      <c r="J28" s="22"/>
      <c r="K28" s="22"/>
      <c r="L28" s="22"/>
      <c r="M28" s="22"/>
      <c r="N28" s="150"/>
      <c r="O28" s="24"/>
      <c r="P28" s="24"/>
      <c r="Q28" s="24"/>
      <c r="R28" s="24">
        <f t="shared" si="0"/>
        <v>40</v>
      </c>
      <c r="S28" s="24">
        <v>1</v>
      </c>
      <c r="T28" s="134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</row>
    <row r="29" spans="1:33" x14ac:dyDescent="0.25">
      <c r="A29" s="184"/>
      <c r="B29" s="22">
        <v>8</v>
      </c>
      <c r="C29" s="32">
        <v>25</v>
      </c>
      <c r="D29" s="34" t="s">
        <v>94</v>
      </c>
      <c r="E29" s="22" t="s">
        <v>95</v>
      </c>
      <c r="F29" s="22">
        <v>2</v>
      </c>
      <c r="G29" s="22">
        <v>40</v>
      </c>
      <c r="H29" s="22"/>
      <c r="I29" s="22"/>
      <c r="J29" s="22"/>
      <c r="K29" s="22"/>
      <c r="L29" s="22"/>
      <c r="M29" s="22"/>
      <c r="N29" s="150"/>
      <c r="O29" s="24"/>
      <c r="P29" s="24"/>
      <c r="Q29" s="24"/>
      <c r="R29" s="24">
        <f t="shared" si="0"/>
        <v>40</v>
      </c>
      <c r="S29" s="24">
        <v>1</v>
      </c>
      <c r="T29" s="134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</row>
    <row r="30" spans="1:33" x14ac:dyDescent="0.25">
      <c r="A30" s="184"/>
      <c r="B30" s="22">
        <v>9</v>
      </c>
      <c r="C30" s="32">
        <v>26</v>
      </c>
      <c r="D30" s="34" t="s">
        <v>96</v>
      </c>
      <c r="E30" s="22" t="s">
        <v>27</v>
      </c>
      <c r="F30" s="22">
        <v>2</v>
      </c>
      <c r="G30" s="22">
        <v>40</v>
      </c>
      <c r="H30" s="22"/>
      <c r="I30" s="22"/>
      <c r="J30" s="22"/>
      <c r="K30" s="22"/>
      <c r="L30" s="22"/>
      <c r="M30" s="22"/>
      <c r="N30" s="150"/>
      <c r="O30" s="24"/>
      <c r="P30" s="24"/>
      <c r="Q30" s="24"/>
      <c r="R30" s="24">
        <f t="shared" si="0"/>
        <v>40</v>
      </c>
      <c r="S30" s="24">
        <v>1</v>
      </c>
      <c r="T30" s="134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</row>
    <row r="31" spans="1:33" x14ac:dyDescent="0.25">
      <c r="A31" s="184"/>
      <c r="B31" s="22">
        <v>10</v>
      </c>
      <c r="C31" s="32">
        <v>27</v>
      </c>
      <c r="D31" s="34" t="s">
        <v>97</v>
      </c>
      <c r="E31" s="22" t="s">
        <v>95</v>
      </c>
      <c r="F31" s="22">
        <v>2</v>
      </c>
      <c r="G31" s="22">
        <v>40</v>
      </c>
      <c r="H31" s="22"/>
      <c r="I31" s="22"/>
      <c r="J31" s="22"/>
      <c r="K31" s="22"/>
      <c r="L31" s="22"/>
      <c r="M31" s="22"/>
      <c r="N31" s="150"/>
      <c r="O31" s="24"/>
      <c r="P31" s="24"/>
      <c r="Q31" s="24"/>
      <c r="R31" s="24">
        <f t="shared" si="0"/>
        <v>40</v>
      </c>
      <c r="S31" s="24">
        <v>1</v>
      </c>
      <c r="T31" s="134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</row>
    <row r="32" spans="1:33" x14ac:dyDescent="0.25">
      <c r="A32" s="184"/>
      <c r="B32" s="22">
        <v>11</v>
      </c>
      <c r="C32" s="32">
        <v>28</v>
      </c>
      <c r="D32" s="38" t="s">
        <v>98</v>
      </c>
      <c r="E32" s="22" t="s">
        <v>27</v>
      </c>
      <c r="F32" s="22">
        <v>2</v>
      </c>
      <c r="G32" s="22">
        <v>40</v>
      </c>
      <c r="H32" s="22"/>
      <c r="I32" s="22"/>
      <c r="J32" s="22"/>
      <c r="K32" s="22"/>
      <c r="L32" s="22"/>
      <c r="M32" s="22"/>
      <c r="N32" s="150"/>
      <c r="O32" s="24"/>
      <c r="P32" s="24"/>
      <c r="Q32" s="24"/>
      <c r="R32" s="24">
        <f t="shared" si="0"/>
        <v>40</v>
      </c>
      <c r="S32" s="24">
        <v>1</v>
      </c>
      <c r="T32" s="134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</row>
    <row r="33" spans="1:33" x14ac:dyDescent="0.25">
      <c r="A33" s="184"/>
      <c r="B33" s="22">
        <v>12</v>
      </c>
      <c r="C33" s="32">
        <v>29</v>
      </c>
      <c r="D33" s="39" t="s">
        <v>99</v>
      </c>
      <c r="E33" s="22" t="s">
        <v>27</v>
      </c>
      <c r="F33" s="40">
        <v>2</v>
      </c>
      <c r="G33" s="40"/>
      <c r="H33" s="40">
        <v>80</v>
      </c>
      <c r="I33" s="40"/>
      <c r="J33" s="40"/>
      <c r="K33" s="40"/>
      <c r="L33" s="40"/>
      <c r="M33" s="22"/>
      <c r="N33" s="150"/>
      <c r="O33" s="24"/>
      <c r="P33" s="24"/>
      <c r="Q33" s="24"/>
      <c r="R33" s="24">
        <f t="shared" si="0"/>
        <v>80</v>
      </c>
      <c r="S33" s="24">
        <v>1</v>
      </c>
      <c r="T33" s="134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</row>
    <row r="34" spans="1:33" x14ac:dyDescent="0.25">
      <c r="A34" s="184"/>
      <c r="B34" s="22">
        <v>13</v>
      </c>
      <c r="C34" s="36">
        <v>30</v>
      </c>
      <c r="D34" s="39" t="s">
        <v>100</v>
      </c>
      <c r="E34" s="22" t="s">
        <v>27</v>
      </c>
      <c r="F34" s="40">
        <v>2</v>
      </c>
      <c r="G34" s="40"/>
      <c r="H34" s="40">
        <v>80</v>
      </c>
      <c r="I34" s="40"/>
      <c r="J34" s="40"/>
      <c r="K34" s="40"/>
      <c r="L34" s="40"/>
      <c r="M34" s="22"/>
      <c r="N34" s="150"/>
      <c r="O34" s="24"/>
      <c r="P34" s="24"/>
      <c r="Q34" s="24"/>
      <c r="R34" s="24">
        <f t="shared" si="0"/>
        <v>80</v>
      </c>
      <c r="S34" s="24">
        <v>1</v>
      </c>
      <c r="T34" s="134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</row>
    <row r="35" spans="1:33" x14ac:dyDescent="0.25">
      <c r="A35" s="184"/>
      <c r="B35" s="22">
        <v>14</v>
      </c>
      <c r="C35" s="32">
        <v>31</v>
      </c>
      <c r="D35" s="41" t="s">
        <v>101</v>
      </c>
      <c r="E35" s="22" t="s">
        <v>27</v>
      </c>
      <c r="F35" s="22">
        <v>2</v>
      </c>
      <c r="G35" s="22"/>
      <c r="H35" s="22"/>
      <c r="I35" s="22"/>
      <c r="J35" s="22"/>
      <c r="K35" s="22">
        <v>300</v>
      </c>
      <c r="L35" s="22"/>
      <c r="M35" s="22"/>
      <c r="N35" s="150"/>
      <c r="O35" s="24"/>
      <c r="P35" s="24"/>
      <c r="Q35" s="24"/>
      <c r="R35" s="24">
        <f t="shared" si="0"/>
        <v>300</v>
      </c>
      <c r="S35" s="24">
        <v>1</v>
      </c>
      <c r="T35" s="134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</row>
    <row r="36" spans="1:33" x14ac:dyDescent="0.25">
      <c r="A36" s="184"/>
      <c r="B36" s="22">
        <v>15</v>
      </c>
      <c r="C36" s="23">
        <v>32</v>
      </c>
      <c r="D36" s="42" t="s">
        <v>102</v>
      </c>
      <c r="E36" s="22" t="s">
        <v>95</v>
      </c>
      <c r="F36" s="22">
        <v>2</v>
      </c>
      <c r="G36" s="22">
        <v>40</v>
      </c>
      <c r="H36" s="22"/>
      <c r="I36" s="22"/>
      <c r="J36" s="22"/>
      <c r="K36" s="22"/>
      <c r="L36" s="22"/>
      <c r="M36" s="22"/>
      <c r="N36" s="150"/>
      <c r="O36" s="24"/>
      <c r="P36" s="24"/>
      <c r="Q36" s="24"/>
      <c r="R36" s="24">
        <f t="shared" ref="R36:R68" si="1">SUM(G36:L36)</f>
        <v>40</v>
      </c>
      <c r="S36" s="24">
        <v>1</v>
      </c>
      <c r="T36" s="134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</row>
    <row r="37" spans="1:33" x14ac:dyDescent="0.25">
      <c r="A37" s="184"/>
      <c r="B37" s="22">
        <v>16</v>
      </c>
      <c r="C37" s="23">
        <v>33</v>
      </c>
      <c r="D37" s="42" t="s">
        <v>103</v>
      </c>
      <c r="E37" s="22" t="s">
        <v>95</v>
      </c>
      <c r="F37" s="22">
        <v>2</v>
      </c>
      <c r="G37" s="22">
        <v>40</v>
      </c>
      <c r="H37" s="22"/>
      <c r="I37" s="22"/>
      <c r="J37" s="22"/>
      <c r="K37" s="22"/>
      <c r="L37" s="22"/>
      <c r="M37" s="22"/>
      <c r="N37" s="150"/>
      <c r="O37" s="24"/>
      <c r="P37" s="24"/>
      <c r="Q37" s="24"/>
      <c r="R37" s="24">
        <f t="shared" si="1"/>
        <v>40</v>
      </c>
      <c r="S37" s="24">
        <v>1</v>
      </c>
      <c r="T37" s="134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</row>
    <row r="38" spans="1:33" x14ac:dyDescent="0.25">
      <c r="A38" s="184"/>
      <c r="B38" s="22">
        <v>17</v>
      </c>
      <c r="C38" s="23">
        <v>34</v>
      </c>
      <c r="D38" s="43" t="s">
        <v>104</v>
      </c>
      <c r="E38" s="22" t="s">
        <v>95</v>
      </c>
      <c r="F38" s="22">
        <v>2</v>
      </c>
      <c r="G38" s="22">
        <v>40</v>
      </c>
      <c r="H38" s="22"/>
      <c r="I38" s="22"/>
      <c r="J38" s="22"/>
      <c r="K38" s="22"/>
      <c r="L38" s="22"/>
      <c r="M38" s="22"/>
      <c r="N38" s="150"/>
      <c r="O38" s="24"/>
      <c r="P38" s="24"/>
      <c r="Q38" s="24"/>
      <c r="R38" s="24">
        <f t="shared" si="1"/>
        <v>40</v>
      </c>
      <c r="S38" s="24">
        <v>1</v>
      </c>
      <c r="T38" s="134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</row>
    <row r="39" spans="1:33" x14ac:dyDescent="0.25">
      <c r="A39" s="184"/>
      <c r="B39" s="22">
        <v>18</v>
      </c>
      <c r="C39" s="32">
        <v>35</v>
      </c>
      <c r="D39" s="44" t="s">
        <v>105</v>
      </c>
      <c r="E39" s="22" t="s">
        <v>12</v>
      </c>
      <c r="F39" s="22">
        <v>3</v>
      </c>
      <c r="G39" s="22"/>
      <c r="H39" s="22"/>
      <c r="I39" s="22"/>
      <c r="J39" s="22"/>
      <c r="K39" s="22"/>
      <c r="L39" s="22">
        <v>600</v>
      </c>
      <c r="M39" s="22"/>
      <c r="N39" s="150"/>
      <c r="O39" s="24">
        <f>SUM(L39,K35,H17,L5)</f>
        <v>1580</v>
      </c>
      <c r="P39" s="152">
        <f>O39*5000</f>
        <v>7900000</v>
      </c>
      <c r="Q39" s="135">
        <f>P39*2%</f>
        <v>158000</v>
      </c>
      <c r="R39" s="24">
        <f t="shared" si="1"/>
        <v>600</v>
      </c>
      <c r="S39" s="24">
        <v>1</v>
      </c>
      <c r="T39" s="134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</row>
    <row r="40" spans="1:33" x14ac:dyDescent="0.25">
      <c r="A40" s="184"/>
      <c r="B40" s="22">
        <v>19</v>
      </c>
      <c r="C40" s="32">
        <v>36</v>
      </c>
      <c r="D40" s="42" t="s">
        <v>106</v>
      </c>
      <c r="E40" s="22" t="s">
        <v>27</v>
      </c>
      <c r="F40" s="22">
        <v>2</v>
      </c>
      <c r="G40" s="22">
        <v>40</v>
      </c>
      <c r="H40" s="22"/>
      <c r="I40" s="22"/>
      <c r="J40" s="22"/>
      <c r="K40" s="22"/>
      <c r="L40" s="22"/>
      <c r="M40" s="22"/>
      <c r="N40" s="150"/>
      <c r="O40" s="24"/>
      <c r="P40" s="24"/>
      <c r="Q40" s="24"/>
      <c r="R40" s="24">
        <f t="shared" si="1"/>
        <v>40</v>
      </c>
      <c r="S40" s="24">
        <v>1</v>
      </c>
      <c r="T40" s="134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</row>
    <row r="41" spans="1:33" x14ac:dyDescent="0.25">
      <c r="A41" s="185" t="s">
        <v>107</v>
      </c>
      <c r="B41" s="27">
        <v>1</v>
      </c>
      <c r="C41" s="27">
        <v>37</v>
      </c>
      <c r="D41" s="45" t="s">
        <v>108</v>
      </c>
      <c r="E41" s="27" t="s">
        <v>37</v>
      </c>
      <c r="F41" s="27">
        <v>2</v>
      </c>
      <c r="G41" s="27"/>
      <c r="H41" s="27"/>
      <c r="I41" s="27"/>
      <c r="J41" s="27"/>
      <c r="K41" s="27"/>
      <c r="L41" s="27">
        <v>600</v>
      </c>
      <c r="M41" s="22"/>
      <c r="N41" s="150"/>
      <c r="O41" s="24"/>
      <c r="P41" s="24"/>
      <c r="Q41" s="24"/>
      <c r="R41" s="24">
        <f t="shared" si="1"/>
        <v>600</v>
      </c>
      <c r="S41" s="24">
        <v>1</v>
      </c>
      <c r="T41" s="134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</row>
    <row r="42" spans="1:33" x14ac:dyDescent="0.25">
      <c r="A42" s="185"/>
      <c r="B42" s="46">
        <v>2</v>
      </c>
      <c r="C42" s="27">
        <v>38</v>
      </c>
      <c r="D42" s="47" t="s">
        <v>109</v>
      </c>
      <c r="E42" s="27" t="s">
        <v>37</v>
      </c>
      <c r="F42" s="27">
        <v>2</v>
      </c>
      <c r="G42" s="27"/>
      <c r="H42" s="27"/>
      <c r="I42" s="27">
        <v>120</v>
      </c>
      <c r="J42" s="27" t="s">
        <v>14</v>
      </c>
      <c r="K42" s="27"/>
      <c r="L42" s="27"/>
      <c r="M42" s="22"/>
      <c r="N42" s="150"/>
      <c r="O42" s="24"/>
      <c r="P42" s="24"/>
      <c r="Q42" s="24"/>
      <c r="R42" s="24">
        <f t="shared" si="1"/>
        <v>120</v>
      </c>
      <c r="S42" s="24">
        <v>1</v>
      </c>
      <c r="T42" s="134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</row>
    <row r="43" spans="1:33" x14ac:dyDescent="0.25">
      <c r="A43" s="185"/>
      <c r="B43" s="46">
        <v>3</v>
      </c>
      <c r="C43" s="27">
        <v>39</v>
      </c>
      <c r="D43" s="47" t="s">
        <v>110</v>
      </c>
      <c r="E43" s="27" t="s">
        <v>37</v>
      </c>
      <c r="F43" s="27">
        <v>2</v>
      </c>
      <c r="G43" s="27">
        <v>40</v>
      </c>
      <c r="H43" s="27"/>
      <c r="I43" s="27"/>
      <c r="J43" s="27"/>
      <c r="K43" s="27"/>
      <c r="L43" s="27"/>
      <c r="M43" s="22"/>
      <c r="N43" s="150"/>
      <c r="O43" s="24"/>
      <c r="P43" s="24"/>
      <c r="Q43" s="24"/>
      <c r="R43" s="24">
        <f t="shared" si="1"/>
        <v>40</v>
      </c>
      <c r="S43" s="24">
        <v>1</v>
      </c>
      <c r="T43" s="134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</row>
    <row r="44" spans="1:33" x14ac:dyDescent="0.25">
      <c r="A44" s="185"/>
      <c r="B44" s="46">
        <v>4</v>
      </c>
      <c r="C44" s="27">
        <v>40</v>
      </c>
      <c r="D44" s="47" t="s">
        <v>111</v>
      </c>
      <c r="E44" s="27" t="s">
        <v>95</v>
      </c>
      <c r="F44" s="27">
        <v>2</v>
      </c>
      <c r="G44" s="27"/>
      <c r="H44" s="27"/>
      <c r="I44" s="27"/>
      <c r="J44" s="27">
        <v>200</v>
      </c>
      <c r="K44" s="27"/>
      <c r="L44" s="27"/>
      <c r="M44" s="22"/>
      <c r="N44" s="150"/>
      <c r="O44" s="24"/>
      <c r="P44" s="24"/>
      <c r="Q44" s="24"/>
      <c r="R44" s="24">
        <f t="shared" si="1"/>
        <v>200</v>
      </c>
      <c r="S44" s="24">
        <v>1</v>
      </c>
      <c r="T44" s="134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</row>
    <row r="45" spans="1:33" x14ac:dyDescent="0.25">
      <c r="A45" s="185"/>
      <c r="B45" s="46">
        <v>5</v>
      </c>
      <c r="C45" s="27">
        <v>41</v>
      </c>
      <c r="D45" s="47" t="s">
        <v>112</v>
      </c>
      <c r="E45" s="27" t="s">
        <v>95</v>
      </c>
      <c r="F45" s="27">
        <v>2</v>
      </c>
      <c r="G45" s="27">
        <v>40</v>
      </c>
      <c r="H45" s="27"/>
      <c r="I45" s="27"/>
      <c r="J45" s="27"/>
      <c r="K45" s="27"/>
      <c r="L45" s="27"/>
      <c r="M45" s="22"/>
      <c r="N45" s="150"/>
      <c r="O45" s="24"/>
      <c r="P45" s="24"/>
      <c r="Q45" s="24"/>
      <c r="R45" s="24">
        <f t="shared" si="1"/>
        <v>40</v>
      </c>
      <c r="S45" s="24">
        <v>1</v>
      </c>
      <c r="T45" s="134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</row>
    <row r="46" spans="1:33" x14ac:dyDescent="0.25">
      <c r="A46" s="185"/>
      <c r="B46" s="46">
        <v>6</v>
      </c>
      <c r="C46" s="27">
        <v>42</v>
      </c>
      <c r="D46" s="47" t="s">
        <v>113</v>
      </c>
      <c r="E46" s="29" t="s">
        <v>83</v>
      </c>
      <c r="F46" s="27">
        <v>2</v>
      </c>
      <c r="G46" s="27"/>
      <c r="H46" s="27">
        <v>80</v>
      </c>
      <c r="I46" s="27"/>
      <c r="J46" s="27"/>
      <c r="K46" s="27"/>
      <c r="L46" s="27"/>
      <c r="M46" s="22"/>
      <c r="N46" s="150"/>
      <c r="O46" s="24"/>
      <c r="P46" s="24"/>
      <c r="Q46" s="24"/>
      <c r="R46" s="24">
        <f t="shared" si="1"/>
        <v>80</v>
      </c>
      <c r="S46" s="24">
        <v>1</v>
      </c>
      <c r="T46" s="134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</row>
    <row r="47" spans="1:33" x14ac:dyDescent="0.25">
      <c r="A47" s="185"/>
      <c r="B47" s="46">
        <v>7</v>
      </c>
      <c r="C47" s="27">
        <v>43</v>
      </c>
      <c r="D47" s="47" t="s">
        <v>114</v>
      </c>
      <c r="E47" s="27" t="s">
        <v>37</v>
      </c>
      <c r="F47" s="27">
        <v>2</v>
      </c>
      <c r="G47" s="27">
        <v>40</v>
      </c>
      <c r="H47" s="27"/>
      <c r="I47" s="27"/>
      <c r="J47" s="27"/>
      <c r="K47" s="27"/>
      <c r="L47" s="27"/>
      <c r="M47" s="22"/>
      <c r="N47" s="150"/>
      <c r="O47" s="24"/>
      <c r="P47" s="24"/>
      <c r="Q47" s="24"/>
      <c r="R47" s="24">
        <f t="shared" si="1"/>
        <v>40</v>
      </c>
      <c r="S47" s="24">
        <v>1</v>
      </c>
      <c r="T47" s="134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</row>
    <row r="48" spans="1:33" x14ac:dyDescent="0.25">
      <c r="A48" s="185"/>
      <c r="B48" s="46">
        <v>8</v>
      </c>
      <c r="C48" s="27">
        <v>44</v>
      </c>
      <c r="D48" s="47" t="s">
        <v>115</v>
      </c>
      <c r="E48" s="27" t="s">
        <v>37</v>
      </c>
      <c r="F48" s="27">
        <v>2</v>
      </c>
      <c r="G48" s="27"/>
      <c r="H48" s="27">
        <v>80</v>
      </c>
      <c r="I48" s="27"/>
      <c r="J48" s="27"/>
      <c r="K48" s="27"/>
      <c r="L48" s="27"/>
      <c r="M48" s="22"/>
      <c r="N48" s="150"/>
      <c r="O48" s="24"/>
      <c r="P48" s="24"/>
      <c r="Q48" s="24"/>
      <c r="R48" s="24">
        <f t="shared" si="1"/>
        <v>80</v>
      </c>
      <c r="S48" s="24">
        <v>1</v>
      </c>
      <c r="T48" s="134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</row>
    <row r="49" spans="1:33" x14ac:dyDescent="0.25">
      <c r="A49" s="185"/>
      <c r="B49" s="46">
        <v>9</v>
      </c>
      <c r="C49" s="27">
        <v>45</v>
      </c>
      <c r="D49" s="47" t="s">
        <v>116</v>
      </c>
      <c r="E49" s="27" t="s">
        <v>37</v>
      </c>
      <c r="F49" s="27">
        <v>2</v>
      </c>
      <c r="G49" s="27">
        <v>40</v>
      </c>
      <c r="H49" s="27"/>
      <c r="I49" s="27"/>
      <c r="J49" s="27"/>
      <c r="K49" s="27"/>
      <c r="L49" s="27"/>
      <c r="M49" s="22"/>
      <c r="N49" s="150"/>
      <c r="O49" s="24"/>
      <c r="P49" s="24"/>
      <c r="Q49" s="24"/>
      <c r="R49" s="24">
        <f t="shared" si="1"/>
        <v>40</v>
      </c>
      <c r="S49" s="24">
        <v>1</v>
      </c>
      <c r="T49" s="134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</row>
    <row r="50" spans="1:33" x14ac:dyDescent="0.25">
      <c r="A50" s="185"/>
      <c r="B50" s="27">
        <v>10</v>
      </c>
      <c r="C50" s="27">
        <v>46</v>
      </c>
      <c r="D50" s="48" t="s">
        <v>117</v>
      </c>
      <c r="E50" s="27" t="s">
        <v>43</v>
      </c>
      <c r="F50" s="31">
        <v>2</v>
      </c>
      <c r="G50" s="31"/>
      <c r="H50" s="31"/>
      <c r="I50" s="31"/>
      <c r="J50" s="31">
        <v>0</v>
      </c>
      <c r="K50" s="31"/>
      <c r="L50" s="31"/>
      <c r="M50" s="22"/>
      <c r="N50" s="150"/>
      <c r="O50" s="24"/>
      <c r="P50" s="24"/>
      <c r="Q50" s="24"/>
      <c r="R50" s="25">
        <f t="shared" si="1"/>
        <v>0</v>
      </c>
      <c r="S50" s="24"/>
      <c r="T50" s="134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</row>
    <row r="51" spans="1:33" x14ac:dyDescent="0.25">
      <c r="A51" s="185"/>
      <c r="B51" s="46">
        <v>11</v>
      </c>
      <c r="C51" s="27">
        <v>47</v>
      </c>
      <c r="D51" s="47" t="s">
        <v>118</v>
      </c>
      <c r="E51" s="27" t="s">
        <v>43</v>
      </c>
      <c r="F51" s="27">
        <v>2</v>
      </c>
      <c r="G51" s="27"/>
      <c r="H51" s="27">
        <v>80</v>
      </c>
      <c r="I51" s="27"/>
      <c r="J51" s="27"/>
      <c r="K51" s="27"/>
      <c r="L51" s="27"/>
      <c r="M51" s="22"/>
      <c r="N51" s="150"/>
      <c r="O51" s="24"/>
      <c r="P51" s="24"/>
      <c r="Q51" s="24"/>
      <c r="R51" s="24">
        <f t="shared" si="1"/>
        <v>80</v>
      </c>
      <c r="S51" s="24">
        <v>1</v>
      </c>
      <c r="T51" s="134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</row>
    <row r="52" spans="1:33" x14ac:dyDescent="0.25">
      <c r="A52" s="185"/>
      <c r="B52" s="46">
        <v>12</v>
      </c>
      <c r="C52" s="27">
        <v>48</v>
      </c>
      <c r="D52" s="47" t="s">
        <v>119</v>
      </c>
      <c r="E52" s="27" t="s">
        <v>43</v>
      </c>
      <c r="F52" s="27">
        <v>2</v>
      </c>
      <c r="G52" s="27"/>
      <c r="H52" s="27">
        <v>80</v>
      </c>
      <c r="I52" s="27"/>
      <c r="J52" s="27"/>
      <c r="K52" s="27"/>
      <c r="L52" s="27"/>
      <c r="M52" s="22"/>
      <c r="N52" s="150"/>
      <c r="O52" s="24"/>
      <c r="P52" s="24"/>
      <c r="Q52" s="24"/>
      <c r="R52" s="24">
        <f t="shared" si="1"/>
        <v>80</v>
      </c>
      <c r="S52" s="24">
        <v>1</v>
      </c>
      <c r="T52" s="134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</row>
    <row r="53" spans="1:33" x14ac:dyDescent="0.25">
      <c r="A53" s="185"/>
      <c r="B53" s="46">
        <v>13</v>
      </c>
      <c r="C53" s="27"/>
      <c r="D53" s="24" t="s">
        <v>120</v>
      </c>
      <c r="E53" s="22" t="s">
        <v>37</v>
      </c>
      <c r="F53" s="24">
        <v>2</v>
      </c>
      <c r="G53" s="24">
        <v>40</v>
      </c>
      <c r="H53" s="22" t="s">
        <v>14</v>
      </c>
      <c r="I53" s="24"/>
      <c r="J53" s="24"/>
      <c r="K53" s="24"/>
      <c r="L53" s="24"/>
      <c r="M53" s="22"/>
      <c r="N53" s="150"/>
      <c r="O53" s="24"/>
      <c r="P53" s="24"/>
      <c r="Q53" s="24"/>
      <c r="R53" s="24">
        <f t="shared" si="1"/>
        <v>40</v>
      </c>
      <c r="S53" s="24">
        <v>1</v>
      </c>
      <c r="T53" s="134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</row>
    <row r="54" spans="1:33" x14ac:dyDescent="0.25">
      <c r="A54" s="185"/>
      <c r="B54" s="46">
        <v>14</v>
      </c>
      <c r="C54" s="27"/>
      <c r="D54" s="24" t="s">
        <v>121</v>
      </c>
      <c r="E54" s="22" t="s">
        <v>43</v>
      </c>
      <c r="F54" s="22">
        <v>2</v>
      </c>
      <c r="G54" s="24"/>
      <c r="H54" s="22">
        <v>80</v>
      </c>
      <c r="I54" s="24"/>
      <c r="J54" s="24"/>
      <c r="K54" s="24"/>
      <c r="L54" s="24"/>
      <c r="M54" s="22"/>
      <c r="N54" s="150"/>
      <c r="O54" s="24"/>
      <c r="P54" s="24"/>
      <c r="Q54" s="24"/>
      <c r="R54" s="24">
        <f t="shared" si="1"/>
        <v>80</v>
      </c>
      <c r="S54" s="24">
        <v>1</v>
      </c>
      <c r="T54" s="134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</row>
    <row r="55" spans="1:33" x14ac:dyDescent="0.25">
      <c r="A55" s="185"/>
      <c r="B55" s="46">
        <v>15</v>
      </c>
      <c r="C55" s="24"/>
      <c r="D55" s="24" t="s">
        <v>122</v>
      </c>
      <c r="E55" s="22" t="s">
        <v>37</v>
      </c>
      <c r="F55" s="24">
        <v>2</v>
      </c>
      <c r="G55" s="22">
        <v>40</v>
      </c>
      <c r="H55" s="24"/>
      <c r="I55" s="24"/>
      <c r="J55" s="24"/>
      <c r="K55" s="24"/>
      <c r="L55" s="24"/>
      <c r="M55" s="22"/>
      <c r="N55" s="150"/>
      <c r="O55" s="24"/>
      <c r="P55" s="24"/>
      <c r="Q55" s="24"/>
      <c r="R55" s="24">
        <f t="shared" si="1"/>
        <v>40</v>
      </c>
      <c r="S55" s="24">
        <v>1</v>
      </c>
      <c r="T55" s="134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</row>
    <row r="56" spans="1:33" x14ac:dyDescent="0.25">
      <c r="A56" s="184" t="s">
        <v>46</v>
      </c>
      <c r="B56" s="22">
        <v>1</v>
      </c>
      <c r="C56" s="23">
        <v>49</v>
      </c>
      <c r="D56" s="25" t="s">
        <v>123</v>
      </c>
      <c r="E56" s="22" t="s">
        <v>53</v>
      </c>
      <c r="F56" s="22">
        <v>2</v>
      </c>
      <c r="G56" s="22"/>
      <c r="H56" s="22"/>
      <c r="I56" s="22">
        <v>120</v>
      </c>
      <c r="J56" s="22"/>
      <c r="K56" s="22"/>
      <c r="L56" s="22"/>
      <c r="M56" s="22"/>
      <c r="N56" s="150"/>
      <c r="O56" s="24"/>
      <c r="P56" s="24"/>
      <c r="Q56" s="24"/>
      <c r="R56" s="24">
        <f t="shared" si="1"/>
        <v>120</v>
      </c>
      <c r="S56" s="24">
        <v>1</v>
      </c>
      <c r="T56" s="134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</row>
    <row r="57" spans="1:33" x14ac:dyDescent="0.25">
      <c r="A57" s="184"/>
      <c r="B57" s="22">
        <v>2</v>
      </c>
      <c r="C57" s="23">
        <v>50</v>
      </c>
      <c r="D57" s="24" t="s">
        <v>124</v>
      </c>
      <c r="E57" s="22" t="s">
        <v>53</v>
      </c>
      <c r="F57" s="22">
        <v>2</v>
      </c>
      <c r="G57" s="22" t="s">
        <v>14</v>
      </c>
      <c r="H57" s="22">
        <v>80</v>
      </c>
      <c r="I57" s="22"/>
      <c r="J57" s="22"/>
      <c r="K57" s="22"/>
      <c r="L57" s="22"/>
      <c r="M57" s="22"/>
      <c r="N57" s="150"/>
      <c r="O57" s="24"/>
      <c r="P57" s="24"/>
      <c r="Q57" s="24"/>
      <c r="R57" s="24">
        <f t="shared" si="1"/>
        <v>80</v>
      </c>
      <c r="S57" s="24">
        <v>1</v>
      </c>
      <c r="T57" s="134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</row>
    <row r="58" spans="1:33" x14ac:dyDescent="0.25">
      <c r="A58" s="184"/>
      <c r="B58" s="22">
        <v>3</v>
      </c>
      <c r="C58" s="23">
        <v>51</v>
      </c>
      <c r="D58" s="24" t="s">
        <v>125</v>
      </c>
      <c r="E58" s="22" t="s">
        <v>53</v>
      </c>
      <c r="F58" s="22">
        <v>2</v>
      </c>
      <c r="G58" s="22">
        <v>40</v>
      </c>
      <c r="H58" s="22"/>
      <c r="I58" s="22"/>
      <c r="J58" s="22"/>
      <c r="K58" s="22"/>
      <c r="L58" s="22"/>
      <c r="M58" s="22"/>
      <c r="N58" s="150"/>
      <c r="O58" s="24"/>
      <c r="P58" s="24"/>
      <c r="Q58" s="24"/>
      <c r="R58" s="24">
        <f t="shared" si="1"/>
        <v>40</v>
      </c>
      <c r="S58" s="24">
        <v>1</v>
      </c>
      <c r="T58" s="134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</row>
    <row r="59" spans="1:33" x14ac:dyDescent="0.25">
      <c r="A59" s="184"/>
      <c r="B59" s="22">
        <v>4</v>
      </c>
      <c r="C59" s="23">
        <v>52</v>
      </c>
      <c r="D59" s="24" t="s">
        <v>126</v>
      </c>
      <c r="E59" s="22" t="s">
        <v>53</v>
      </c>
      <c r="F59" s="22">
        <v>2</v>
      </c>
      <c r="G59" s="22">
        <v>40</v>
      </c>
      <c r="H59" s="22"/>
      <c r="I59" s="22"/>
      <c r="J59" s="22"/>
      <c r="K59" s="22"/>
      <c r="L59" s="22"/>
      <c r="M59" s="22"/>
      <c r="N59" s="150"/>
      <c r="O59" s="24"/>
      <c r="P59" s="24"/>
      <c r="Q59" s="24"/>
      <c r="R59" s="24">
        <f t="shared" si="1"/>
        <v>40</v>
      </c>
      <c r="S59" s="24">
        <v>1</v>
      </c>
      <c r="T59" s="134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</row>
    <row r="60" spans="1:33" x14ac:dyDescent="0.25">
      <c r="A60" s="184"/>
      <c r="B60" s="22">
        <v>5</v>
      </c>
      <c r="C60" s="23">
        <v>53</v>
      </c>
      <c r="D60" s="24" t="s">
        <v>127</v>
      </c>
      <c r="E60" s="22" t="s">
        <v>53</v>
      </c>
      <c r="F60" s="22">
        <v>2</v>
      </c>
      <c r="G60" s="22">
        <v>40</v>
      </c>
      <c r="H60" s="22"/>
      <c r="I60" s="22"/>
      <c r="J60" s="22"/>
      <c r="K60" s="22"/>
      <c r="L60" s="22"/>
      <c r="M60" s="22"/>
      <c r="N60" s="150"/>
      <c r="O60" s="24"/>
      <c r="P60" s="24"/>
      <c r="Q60" s="24"/>
      <c r="R60" s="24">
        <f t="shared" si="1"/>
        <v>40</v>
      </c>
      <c r="S60" s="24">
        <v>1</v>
      </c>
      <c r="T60" s="134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</row>
    <row r="61" spans="1:33" x14ac:dyDescent="0.25">
      <c r="A61" s="184"/>
      <c r="B61" s="22">
        <v>6</v>
      </c>
      <c r="C61" s="23">
        <v>54</v>
      </c>
      <c r="D61" s="24" t="s">
        <v>128</v>
      </c>
      <c r="E61" s="22" t="s">
        <v>53</v>
      </c>
      <c r="F61" s="22">
        <v>2</v>
      </c>
      <c r="G61" s="22">
        <v>40</v>
      </c>
      <c r="H61" s="22"/>
      <c r="I61" s="22"/>
      <c r="J61" s="22"/>
      <c r="K61" s="22"/>
      <c r="L61" s="22"/>
      <c r="M61" s="22"/>
      <c r="N61" s="150"/>
      <c r="O61" s="24"/>
      <c r="P61" s="24"/>
      <c r="Q61" s="24"/>
      <c r="R61" s="24">
        <f t="shared" si="1"/>
        <v>40</v>
      </c>
      <c r="S61" s="24">
        <v>1</v>
      </c>
      <c r="T61" s="134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</row>
    <row r="62" spans="1:33" x14ac:dyDescent="0.25">
      <c r="A62" s="184"/>
      <c r="B62" s="22">
        <v>8</v>
      </c>
      <c r="C62" s="23">
        <v>55</v>
      </c>
      <c r="D62" s="24" t="s">
        <v>129</v>
      </c>
      <c r="E62" s="22" t="s">
        <v>48</v>
      </c>
      <c r="F62" s="22">
        <v>2</v>
      </c>
      <c r="G62" s="22">
        <v>40</v>
      </c>
      <c r="H62" s="22"/>
      <c r="I62" s="22"/>
      <c r="J62" s="22"/>
      <c r="K62" s="22"/>
      <c r="L62" s="22"/>
      <c r="M62" s="22"/>
      <c r="N62" s="150"/>
      <c r="O62" s="24"/>
      <c r="P62" s="24"/>
      <c r="Q62" s="24"/>
      <c r="R62" s="24">
        <f t="shared" si="1"/>
        <v>40</v>
      </c>
      <c r="S62" s="24">
        <v>1</v>
      </c>
      <c r="T62" s="134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</row>
    <row r="63" spans="1:33" x14ac:dyDescent="0.25">
      <c r="A63" s="184"/>
      <c r="B63" s="22">
        <v>9</v>
      </c>
      <c r="C63" s="23">
        <v>56</v>
      </c>
      <c r="D63" s="24" t="s">
        <v>130</v>
      </c>
      <c r="E63" s="22" t="s">
        <v>48</v>
      </c>
      <c r="F63" s="22">
        <v>2</v>
      </c>
      <c r="G63" s="22"/>
      <c r="H63" s="22">
        <v>80</v>
      </c>
      <c r="I63" s="22"/>
      <c r="J63" s="22"/>
      <c r="K63" s="22"/>
      <c r="L63" s="22"/>
      <c r="M63" s="22"/>
      <c r="N63" s="150"/>
      <c r="O63" s="24"/>
      <c r="P63" s="24"/>
      <c r="Q63" s="24"/>
      <c r="R63" s="24">
        <f t="shared" si="1"/>
        <v>80</v>
      </c>
      <c r="S63" s="24">
        <v>1</v>
      </c>
      <c r="T63" s="134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</row>
    <row r="64" spans="1:33" x14ac:dyDescent="0.25">
      <c r="A64" s="184"/>
      <c r="B64" s="22">
        <v>10</v>
      </c>
      <c r="C64" s="23">
        <v>57</v>
      </c>
      <c r="D64" s="24" t="s">
        <v>131</v>
      </c>
      <c r="E64" s="22" t="s">
        <v>53</v>
      </c>
      <c r="F64" s="22">
        <v>2</v>
      </c>
      <c r="G64" s="22">
        <v>40</v>
      </c>
      <c r="H64" s="22"/>
      <c r="I64" s="22"/>
      <c r="J64" s="22"/>
      <c r="K64" s="22"/>
      <c r="L64" s="22"/>
      <c r="M64" s="22"/>
      <c r="N64" s="150"/>
      <c r="O64" s="24"/>
      <c r="P64" s="24"/>
      <c r="Q64" s="24"/>
      <c r="R64" s="24">
        <f t="shared" si="1"/>
        <v>40</v>
      </c>
      <c r="S64" s="24">
        <v>1</v>
      </c>
      <c r="T64" s="134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</row>
    <row r="65" spans="1:33" x14ac:dyDescent="0.25">
      <c r="A65" s="184"/>
      <c r="B65" s="22">
        <v>11</v>
      </c>
      <c r="C65" s="23">
        <v>58</v>
      </c>
      <c r="D65" s="24" t="s">
        <v>132</v>
      </c>
      <c r="E65" s="22" t="s">
        <v>48</v>
      </c>
      <c r="F65" s="22">
        <v>2</v>
      </c>
      <c r="G65" s="22">
        <v>40</v>
      </c>
      <c r="H65" s="22" t="s">
        <v>14</v>
      </c>
      <c r="I65" s="22"/>
      <c r="J65" s="22"/>
      <c r="K65" s="22"/>
      <c r="L65" s="22"/>
      <c r="M65" s="22"/>
      <c r="N65" s="150"/>
      <c r="O65" s="24"/>
      <c r="P65" s="24"/>
      <c r="Q65" s="24"/>
      <c r="R65" s="24">
        <f t="shared" si="1"/>
        <v>40</v>
      </c>
      <c r="S65" s="24">
        <v>1</v>
      </c>
      <c r="T65" s="134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</row>
    <row r="66" spans="1:33" x14ac:dyDescent="0.25">
      <c r="A66" s="184"/>
      <c r="B66" s="22">
        <v>12</v>
      </c>
      <c r="C66" s="23">
        <v>59</v>
      </c>
      <c r="D66" s="24" t="s">
        <v>133</v>
      </c>
      <c r="E66" s="22" t="s">
        <v>48</v>
      </c>
      <c r="F66" s="22">
        <v>2</v>
      </c>
      <c r="G66" s="22">
        <v>40</v>
      </c>
      <c r="H66" s="22"/>
      <c r="I66" s="22"/>
      <c r="J66" s="22"/>
      <c r="K66" s="22"/>
      <c r="L66" s="22"/>
      <c r="M66" s="22"/>
      <c r="N66" s="150"/>
      <c r="O66" s="24"/>
      <c r="P66" s="24"/>
      <c r="Q66" s="24"/>
      <c r="R66" s="24">
        <f t="shared" si="1"/>
        <v>40</v>
      </c>
      <c r="S66" s="24">
        <v>1</v>
      </c>
      <c r="T66" s="134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</row>
    <row r="67" spans="1:33" x14ac:dyDescent="0.25">
      <c r="A67" s="184"/>
      <c r="B67" s="22">
        <v>13</v>
      </c>
      <c r="C67" s="23">
        <v>60</v>
      </c>
      <c r="D67" s="24" t="s">
        <v>134</v>
      </c>
      <c r="E67" s="22" t="s">
        <v>53</v>
      </c>
      <c r="F67" s="22">
        <v>2</v>
      </c>
      <c r="G67" s="22"/>
      <c r="H67" s="22">
        <v>80</v>
      </c>
      <c r="I67" s="22"/>
      <c r="J67" s="22"/>
      <c r="K67" s="22"/>
      <c r="L67" s="22"/>
      <c r="M67" s="22"/>
      <c r="N67" s="150"/>
      <c r="O67" s="24"/>
      <c r="P67" s="24"/>
      <c r="Q67" s="24"/>
      <c r="R67" s="24">
        <f t="shared" si="1"/>
        <v>80</v>
      </c>
      <c r="S67" s="24">
        <v>1</v>
      </c>
      <c r="T67" s="134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</row>
    <row r="68" spans="1:33" x14ac:dyDescent="0.25">
      <c r="A68" s="184"/>
      <c r="B68" s="22">
        <v>14</v>
      </c>
      <c r="C68" s="23">
        <v>61</v>
      </c>
      <c r="D68" s="24" t="s">
        <v>135</v>
      </c>
      <c r="E68" s="22" t="s">
        <v>53</v>
      </c>
      <c r="F68" s="22">
        <v>2</v>
      </c>
      <c r="G68" s="22"/>
      <c r="H68" s="22">
        <v>80</v>
      </c>
      <c r="I68" s="22"/>
      <c r="J68" s="22"/>
      <c r="K68" s="22"/>
      <c r="L68" s="22"/>
      <c r="M68" s="22"/>
      <c r="N68" s="150"/>
      <c r="O68" s="24"/>
      <c r="P68" s="24"/>
      <c r="Q68" s="24"/>
      <c r="R68" s="24">
        <f t="shared" si="1"/>
        <v>80</v>
      </c>
      <c r="S68" s="24">
        <v>1</v>
      </c>
      <c r="T68" s="134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</row>
    <row r="69" spans="1:33" s="49" customFormat="1" ht="33" customHeight="1" x14ac:dyDescent="0.2">
      <c r="A69" s="178" t="s">
        <v>140</v>
      </c>
      <c r="B69" s="178"/>
      <c r="C69" s="178"/>
      <c r="D69" s="178"/>
      <c r="E69" s="178"/>
      <c r="F69" s="116">
        <f>SUM(F4:F68)</f>
        <v>128</v>
      </c>
      <c r="G69" s="116">
        <f t="shared" ref="G69:K69" si="2">SUM(G4:G68)</f>
        <v>1240</v>
      </c>
      <c r="H69" s="116">
        <f t="shared" si="2"/>
        <v>1680</v>
      </c>
      <c r="I69" s="116">
        <f t="shared" si="2"/>
        <v>480</v>
      </c>
      <c r="J69" s="116">
        <f t="shared" si="2"/>
        <v>400</v>
      </c>
      <c r="K69" s="116">
        <f t="shared" si="2"/>
        <v>600</v>
      </c>
      <c r="L69" s="116">
        <f>SUM(L4:L68)</f>
        <v>1800</v>
      </c>
      <c r="M69" s="115">
        <f t="shared" ref="M69:AG69" si="3">SUM(M4:M68)</f>
        <v>620</v>
      </c>
      <c r="N69" s="115">
        <f t="shared" si="3"/>
        <v>0</v>
      </c>
      <c r="O69" s="115">
        <f t="shared" si="3"/>
        <v>1580</v>
      </c>
      <c r="P69" s="115">
        <f t="shared" si="3"/>
        <v>7900000</v>
      </c>
      <c r="Q69" s="115">
        <f t="shared" si="3"/>
        <v>158000</v>
      </c>
      <c r="R69" s="119">
        <f>SUM(R4:R68)</f>
        <v>6200</v>
      </c>
      <c r="S69" s="119">
        <f>SUM(S4:S68)</f>
        <v>62</v>
      </c>
      <c r="T69" s="117">
        <f t="shared" si="3"/>
        <v>0</v>
      </c>
      <c r="U69" s="115">
        <f t="shared" si="3"/>
        <v>0</v>
      </c>
      <c r="V69" s="115">
        <f t="shared" si="3"/>
        <v>0</v>
      </c>
      <c r="W69" s="115">
        <f t="shared" si="3"/>
        <v>0</v>
      </c>
      <c r="X69" s="115">
        <f t="shared" si="3"/>
        <v>0</v>
      </c>
      <c r="Y69" s="115">
        <f>SUM(Y4:Y68)</f>
        <v>0</v>
      </c>
      <c r="Z69" s="115">
        <f t="shared" si="3"/>
        <v>0</v>
      </c>
      <c r="AA69" s="115">
        <f t="shared" si="3"/>
        <v>0</v>
      </c>
      <c r="AB69" s="115">
        <f t="shared" si="3"/>
        <v>0</v>
      </c>
      <c r="AC69" s="115">
        <f t="shared" si="3"/>
        <v>0</v>
      </c>
      <c r="AD69" s="115">
        <f t="shared" si="3"/>
        <v>0</v>
      </c>
      <c r="AE69" s="115">
        <f t="shared" si="3"/>
        <v>0</v>
      </c>
      <c r="AF69" s="115">
        <f t="shared" si="3"/>
        <v>0</v>
      </c>
      <c r="AG69" s="115">
        <f t="shared" si="3"/>
        <v>0</v>
      </c>
    </row>
    <row r="70" spans="1:33" x14ac:dyDescent="0.25">
      <c r="M70" s="19" t="s">
        <v>14</v>
      </c>
    </row>
    <row r="71" spans="1:33" hidden="1" x14ac:dyDescent="0.25">
      <c r="M71" s="50"/>
    </row>
    <row r="72" spans="1:33" ht="19.5" hidden="1" x14ac:dyDescent="0.25">
      <c r="F72" s="6" t="s">
        <v>59</v>
      </c>
      <c r="G72" s="6">
        <v>40</v>
      </c>
      <c r="H72" s="6">
        <v>80</v>
      </c>
      <c r="I72" s="6">
        <v>120</v>
      </c>
      <c r="J72" s="6">
        <v>200</v>
      </c>
      <c r="K72" s="6">
        <v>300</v>
      </c>
      <c r="L72" s="6">
        <v>600</v>
      </c>
    </row>
    <row r="73" spans="1:33" ht="19.5" hidden="1" x14ac:dyDescent="0.25">
      <c r="F73" s="16" t="s">
        <v>60</v>
      </c>
      <c r="G73" s="16">
        <v>30</v>
      </c>
      <c r="H73" s="16">
        <v>22</v>
      </c>
      <c r="I73" s="16">
        <v>3</v>
      </c>
      <c r="J73" s="16">
        <v>3</v>
      </c>
      <c r="K73" s="16">
        <v>2</v>
      </c>
      <c r="L73" s="16">
        <v>3</v>
      </c>
    </row>
    <row r="74" spans="1:33" ht="19.5" hidden="1" x14ac:dyDescent="0.25">
      <c r="F74" s="16" t="s">
        <v>61</v>
      </c>
      <c r="G74" s="16">
        <f>G73*G36</f>
        <v>1200</v>
      </c>
      <c r="H74" s="16">
        <f>H72*H73</f>
        <v>1760</v>
      </c>
      <c r="I74" s="16">
        <f>I72*I73</f>
        <v>360</v>
      </c>
      <c r="J74" s="16">
        <f>J73*J72</f>
        <v>600</v>
      </c>
      <c r="K74" s="16">
        <f>K73*K72</f>
        <v>600</v>
      </c>
      <c r="L74" s="16">
        <f>L73*L72</f>
        <v>1800</v>
      </c>
    </row>
    <row r="75" spans="1:33" ht="19.5" hidden="1" x14ac:dyDescent="0.25">
      <c r="F75" s="17" t="s">
        <v>62</v>
      </c>
      <c r="G75" s="171">
        <f>SUM(G74:L74)</f>
        <v>6320</v>
      </c>
      <c r="H75" s="172"/>
      <c r="I75" s="172"/>
      <c r="J75" s="172"/>
      <c r="K75" s="172"/>
      <c r="L75" s="173"/>
    </row>
    <row r="76" spans="1:33" hidden="1" x14ac:dyDescent="0.25"/>
    <row r="77" spans="1:33" hidden="1" x14ac:dyDescent="0.25"/>
    <row r="78" spans="1:33" hidden="1" x14ac:dyDescent="0.25">
      <c r="F78" s="19" t="s">
        <v>59</v>
      </c>
      <c r="G78" s="19">
        <v>40</v>
      </c>
      <c r="H78" s="19">
        <v>80</v>
      </c>
      <c r="I78" s="19">
        <v>120</v>
      </c>
      <c r="J78" s="19">
        <v>200</v>
      </c>
      <c r="K78" s="19">
        <v>300</v>
      </c>
      <c r="L78" s="19">
        <v>600</v>
      </c>
    </row>
    <row r="79" spans="1:33" hidden="1" x14ac:dyDescent="0.25">
      <c r="F79" s="19" t="s">
        <v>60</v>
      </c>
      <c r="G79" s="19">
        <v>8</v>
      </c>
      <c r="H79" s="19">
        <v>4</v>
      </c>
      <c r="I79" s="19">
        <v>6</v>
      </c>
      <c r="J79" s="19">
        <v>4</v>
      </c>
      <c r="K79" s="19">
        <v>4</v>
      </c>
      <c r="L79" s="19">
        <v>1</v>
      </c>
    </row>
    <row r="80" spans="1:33" hidden="1" x14ac:dyDescent="0.25">
      <c r="F80" s="19" t="s">
        <v>61</v>
      </c>
      <c r="G80" s="19">
        <v>320</v>
      </c>
      <c r="H80" s="19">
        <v>320</v>
      </c>
      <c r="I80" s="19">
        <v>720</v>
      </c>
      <c r="J80" s="19">
        <v>800</v>
      </c>
      <c r="K80" s="19">
        <v>1200</v>
      </c>
      <c r="L80" s="19">
        <v>600</v>
      </c>
    </row>
    <row r="81" spans="5:16" hidden="1" x14ac:dyDescent="0.25">
      <c r="F81" s="19" t="s">
        <v>62</v>
      </c>
      <c r="G81" s="19">
        <v>3960</v>
      </c>
    </row>
    <row r="82" spans="5:16" hidden="1" x14ac:dyDescent="0.25"/>
    <row r="83" spans="5:16" hidden="1" x14ac:dyDescent="0.25">
      <c r="G83" s="19">
        <f>SUM(G75,G81)</f>
        <v>10280</v>
      </c>
      <c r="H83" s="19">
        <f>G83/3</f>
        <v>3426.6666666666665</v>
      </c>
    </row>
    <row r="84" spans="5:16" hidden="1" x14ac:dyDescent="0.25"/>
    <row r="85" spans="5:16" hidden="1" x14ac:dyDescent="0.25">
      <c r="G85" s="19">
        <v>4150</v>
      </c>
    </row>
    <row r="86" spans="5:16" hidden="1" x14ac:dyDescent="0.25">
      <c r="G86" s="51">
        <f>G83*G85*3%</f>
        <v>1279860</v>
      </c>
    </row>
    <row r="87" spans="5:16" hidden="1" x14ac:dyDescent="0.25">
      <c r="G87" s="52">
        <f>G86-N82</f>
        <v>1279860</v>
      </c>
    </row>
    <row r="88" spans="5:16" ht="18.600000000000001" hidden="1" customHeight="1" x14ac:dyDescent="0.25">
      <c r="F88" s="181" t="s">
        <v>136</v>
      </c>
      <c r="G88" s="181"/>
      <c r="H88" s="181"/>
      <c r="I88" s="181"/>
      <c r="J88" s="181"/>
      <c r="K88" s="181"/>
      <c r="L88" s="181"/>
      <c r="M88" s="181"/>
      <c r="N88" s="182"/>
      <c r="O88" s="181"/>
    </row>
    <row r="89" spans="5:16" hidden="1" x14ac:dyDescent="0.25">
      <c r="F89" s="181"/>
      <c r="G89" s="181"/>
      <c r="H89" s="181"/>
      <c r="I89" s="181"/>
      <c r="J89" s="181"/>
      <c r="K89" s="181"/>
      <c r="L89" s="181"/>
      <c r="M89" s="181"/>
      <c r="N89" s="182"/>
      <c r="O89" s="181"/>
      <c r="P89" s="19"/>
    </row>
    <row r="90" spans="5:16" hidden="1" x14ac:dyDescent="0.25">
      <c r="F90" s="53" t="s">
        <v>137</v>
      </c>
      <c r="G90" s="53" t="s">
        <v>10</v>
      </c>
      <c r="H90" s="53" t="s">
        <v>78</v>
      </c>
      <c r="I90" s="53" t="s">
        <v>25</v>
      </c>
      <c r="J90" s="53" t="s">
        <v>138</v>
      </c>
      <c r="K90" s="53" t="s">
        <v>46</v>
      </c>
      <c r="L90" s="54" t="s">
        <v>19</v>
      </c>
      <c r="M90" s="55"/>
      <c r="N90" s="55"/>
      <c r="O90" s="56"/>
      <c r="P90" s="19"/>
    </row>
    <row r="91" spans="5:16" hidden="1" x14ac:dyDescent="0.25">
      <c r="F91" s="22" t="s">
        <v>0</v>
      </c>
      <c r="G91" s="22">
        <f>'[1]ร้านค้า (เพิ่มเติม'!O9</f>
        <v>840</v>
      </c>
      <c r="H91" s="22">
        <f>'[1]ร้านค้า (เพิ่มเติม'!O13</f>
        <v>200</v>
      </c>
      <c r="I91" s="22">
        <f>'[1]ร้านค้า (เพิ่มเติม'!O18</f>
        <v>360</v>
      </c>
      <c r="J91" s="22">
        <f>'[1]ร้านค้า (เพิ่มเติม'!O28</f>
        <v>1540</v>
      </c>
      <c r="K91" s="22">
        <f>'[1]ร้านค้า (เพิ่มเติม'!O35</f>
        <v>1000</v>
      </c>
      <c r="L91" s="22">
        <f>SUM(G91:K91)</f>
        <v>3940</v>
      </c>
      <c r="M91" s="57"/>
      <c r="N91" s="57"/>
      <c r="O91" s="22"/>
    </row>
    <row r="92" spans="5:16" hidden="1" x14ac:dyDescent="0.25">
      <c r="F92" s="22" t="s">
        <v>63</v>
      </c>
      <c r="G92" s="22" t="e">
        <f>#REF!</f>
        <v>#REF!</v>
      </c>
      <c r="H92" s="22" t="e">
        <f>#REF!</f>
        <v>#REF!</v>
      </c>
      <c r="I92" s="22" t="e">
        <f>#REF!</f>
        <v>#REF!</v>
      </c>
      <c r="J92" s="22" t="e">
        <f>#REF!</f>
        <v>#REF!</v>
      </c>
      <c r="K92" s="22" t="e">
        <f>#REF!</f>
        <v>#REF!</v>
      </c>
      <c r="L92" s="22" t="e">
        <f>SUM(G92:K92)</f>
        <v>#REF!</v>
      </c>
      <c r="M92" s="57"/>
      <c r="N92" s="57"/>
      <c r="O92" s="22"/>
    </row>
    <row r="93" spans="5:16" hidden="1" x14ac:dyDescent="0.25">
      <c r="E93" s="19">
        <v>3</v>
      </c>
      <c r="F93" s="58" t="s">
        <v>19</v>
      </c>
      <c r="G93" s="58" t="e">
        <f>SUM(G91:G92)</f>
        <v>#REF!</v>
      </c>
      <c r="H93" s="58" t="e">
        <f t="shared" ref="H93:K93" si="4">SUM(H91:H92)</f>
        <v>#REF!</v>
      </c>
      <c r="I93" s="58" t="e">
        <f t="shared" si="4"/>
        <v>#REF!</v>
      </c>
      <c r="J93" s="58" t="e">
        <f t="shared" si="4"/>
        <v>#REF!</v>
      </c>
      <c r="K93" s="58" t="e">
        <f t="shared" si="4"/>
        <v>#REF!</v>
      </c>
      <c r="L93" s="58" t="e">
        <f>SUM(L91:L92)</f>
        <v>#REF!</v>
      </c>
      <c r="M93" s="22"/>
      <c r="N93" s="57"/>
      <c r="O93" s="22"/>
    </row>
    <row r="94" spans="5:16" hidden="1" x14ac:dyDescent="0.25">
      <c r="F94" s="59" t="s">
        <v>139</v>
      </c>
      <c r="G94" s="60" t="e">
        <f>G93/$E93</f>
        <v>#REF!</v>
      </c>
      <c r="H94" s="60" t="e">
        <f>H93/$E93</f>
        <v>#REF!</v>
      </c>
      <c r="I94" s="60" t="e">
        <f t="shared" ref="I94:L94" si="5">I93/$E93</f>
        <v>#REF!</v>
      </c>
      <c r="J94" s="60" t="e">
        <f t="shared" si="5"/>
        <v>#REF!</v>
      </c>
      <c r="K94" s="60" t="e">
        <f t="shared" si="5"/>
        <v>#REF!</v>
      </c>
      <c r="L94" s="60" t="e">
        <f t="shared" si="5"/>
        <v>#REF!</v>
      </c>
      <c r="M94" s="22"/>
      <c r="N94" s="61"/>
      <c r="O94" s="62"/>
    </row>
    <row r="95" spans="5:16" hidden="1" x14ac:dyDescent="0.25"/>
    <row r="96" spans="5:16" x14ac:dyDescent="0.25">
      <c r="L96" s="63"/>
      <c r="M96" s="64"/>
      <c r="N96" s="65"/>
      <c r="O96" s="65"/>
    </row>
    <row r="97" spans="3:6" ht="32.25" x14ac:dyDescent="0.25">
      <c r="C97" s="118">
        <v>2</v>
      </c>
      <c r="D97" s="166" t="s">
        <v>153</v>
      </c>
      <c r="E97" s="166"/>
      <c r="F97" s="166"/>
    </row>
    <row r="98" spans="3:6" x14ac:dyDescent="0.25">
      <c r="D98" s="163" t="s">
        <v>145</v>
      </c>
      <c r="E98" s="163"/>
      <c r="F98" s="163"/>
    </row>
    <row r="99" spans="3:6" ht="18.75" thickBot="1" x14ac:dyDescent="0.3">
      <c r="D99" s="164"/>
      <c r="E99" s="164"/>
      <c r="F99" s="164"/>
    </row>
    <row r="100" spans="3:6" ht="47.25" customHeight="1" x14ac:dyDescent="0.25">
      <c r="D100" s="91" t="s">
        <v>146</v>
      </c>
      <c r="E100" s="94">
        <f>COUNT(C4:C68)</f>
        <v>62</v>
      </c>
      <c r="F100" s="92">
        <v>1</v>
      </c>
    </row>
    <row r="101" spans="3:6" ht="47.25" customHeight="1" thickBot="1" x14ac:dyDescent="0.3">
      <c r="D101" s="100" t="s">
        <v>147</v>
      </c>
      <c r="E101" s="95">
        <f>F69</f>
        <v>128</v>
      </c>
      <c r="F101" s="93">
        <v>1</v>
      </c>
    </row>
    <row r="102" spans="3:6" ht="47.25" customHeight="1" x14ac:dyDescent="0.25">
      <c r="D102" s="101" t="s">
        <v>148</v>
      </c>
      <c r="E102" s="96">
        <f>Y69</f>
        <v>0</v>
      </c>
      <c r="F102" s="106">
        <f>E102/E100</f>
        <v>0</v>
      </c>
    </row>
    <row r="103" spans="3:6" ht="47.25" customHeight="1" thickBot="1" x14ac:dyDescent="0.3">
      <c r="D103" s="102" t="s">
        <v>149</v>
      </c>
      <c r="E103" s="97">
        <f>Z69</f>
        <v>0</v>
      </c>
      <c r="F103" s="107">
        <f>E103/E101</f>
        <v>0</v>
      </c>
    </row>
    <row r="104" spans="3:6" ht="51.75" customHeight="1" x14ac:dyDescent="0.25">
      <c r="D104" s="103" t="s">
        <v>150</v>
      </c>
      <c r="E104" s="98">
        <f>E100-E102</f>
        <v>62</v>
      </c>
      <c r="F104" s="108">
        <f>E104/E100</f>
        <v>1</v>
      </c>
    </row>
    <row r="105" spans="3:6" ht="51.75" customHeight="1" thickBot="1" x14ac:dyDescent="0.3">
      <c r="D105" s="104" t="s">
        <v>151</v>
      </c>
      <c r="E105" s="99">
        <f>E101-E103</f>
        <v>128</v>
      </c>
      <c r="F105" s="109">
        <f>E105/E101</f>
        <v>1</v>
      </c>
    </row>
    <row r="106" spans="3:6" ht="51.75" customHeight="1" x14ac:dyDescent="0.25">
      <c r="D106" s="70" t="s">
        <v>155</v>
      </c>
      <c r="E106" s="120">
        <f>O91</f>
        <v>0</v>
      </c>
      <c r="F106" s="121">
        <v>1</v>
      </c>
    </row>
    <row r="107" spans="3:6" ht="51.75" customHeight="1" thickBot="1" x14ac:dyDescent="0.3">
      <c r="D107" s="74" t="s">
        <v>154</v>
      </c>
      <c r="E107" s="122">
        <f>AC91</f>
        <v>0</v>
      </c>
      <c r="F107" s="123" t="e">
        <f>E107/E106</f>
        <v>#DIV/0!</v>
      </c>
    </row>
    <row r="108" spans="3:6" ht="51.75" customHeight="1" x14ac:dyDescent="0.25">
      <c r="D108" s="136" t="s">
        <v>155</v>
      </c>
      <c r="E108" s="137">
        <f>O93</f>
        <v>0</v>
      </c>
      <c r="F108" s="138">
        <v>1</v>
      </c>
    </row>
    <row r="109" spans="3:6" ht="51.75" customHeight="1" thickBot="1" x14ac:dyDescent="0.3">
      <c r="D109" s="139" t="s">
        <v>154</v>
      </c>
      <c r="E109" s="140">
        <f>AC93</f>
        <v>0</v>
      </c>
      <c r="F109" s="141" t="e">
        <f>E109/E108</f>
        <v>#DIV/0!</v>
      </c>
    </row>
    <row r="110" spans="3:6" ht="51.75" customHeight="1" x14ac:dyDescent="0.25">
      <c r="D110" s="142" t="s">
        <v>155</v>
      </c>
      <c r="E110" s="143">
        <f>O95</f>
        <v>0</v>
      </c>
      <c r="F110" s="144">
        <v>1</v>
      </c>
    </row>
    <row r="111" spans="3:6" ht="51.75" customHeight="1" thickBot="1" x14ac:dyDescent="0.3">
      <c r="D111" s="145" t="s">
        <v>154</v>
      </c>
      <c r="E111" s="146">
        <f>AC95</f>
        <v>0</v>
      </c>
      <c r="F111" s="147" t="e">
        <f>E111/E110</f>
        <v>#DIV/0!</v>
      </c>
    </row>
  </sheetData>
  <autoFilter ref="A3:AG70" xr:uid="{F27C9D31-6329-4289-B1F6-738A541EC623}"/>
  <mergeCells count="27">
    <mergeCell ref="A56:A68"/>
    <mergeCell ref="A1:C1"/>
    <mergeCell ref="A2:A3"/>
    <mergeCell ref="B2:B3"/>
    <mergeCell ref="C2:C3"/>
    <mergeCell ref="A4:A15"/>
    <mergeCell ref="A16:A21"/>
    <mergeCell ref="E2:E3"/>
    <mergeCell ref="A22:A40"/>
    <mergeCell ref="A41:A55"/>
    <mergeCell ref="D2:D3"/>
    <mergeCell ref="D97:F97"/>
    <mergeCell ref="D98:F99"/>
    <mergeCell ref="A69:E69"/>
    <mergeCell ref="S2:S3"/>
    <mergeCell ref="Y1:AG1"/>
    <mergeCell ref="R2:R3"/>
    <mergeCell ref="Y2:Y3"/>
    <mergeCell ref="Z2:Z3"/>
    <mergeCell ref="AG2:AG3"/>
    <mergeCell ref="G75:L75"/>
    <mergeCell ref="F88:L89"/>
    <mergeCell ref="M88:M89"/>
    <mergeCell ref="N88:N89"/>
    <mergeCell ref="O88:O89"/>
    <mergeCell ref="F2:F3"/>
    <mergeCell ref="G2:L2"/>
  </mergeCells>
  <conditionalFormatting sqref="F100:F105">
    <cfRule type="duplicateValues" dxfId="1" priority="2"/>
  </conditionalFormatting>
  <conditionalFormatting sqref="F106:F1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ร้านค้า</vt:lpstr>
      <vt:lpstr>ผู้ใช้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 SAC</dc:creator>
  <cp:lastModifiedBy>PONGSAK PHAOTIP</cp:lastModifiedBy>
  <dcterms:created xsi:type="dcterms:W3CDTF">2026-04-07T02:14:56Z</dcterms:created>
  <dcterms:modified xsi:type="dcterms:W3CDTF">2026-04-08T07:57:23Z</dcterms:modified>
</cp:coreProperties>
</file>